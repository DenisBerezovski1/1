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4805"/>
  </bookViews>
  <sheets>
    <sheet name="Задачи" sheetId="1" r:id="rId1"/>
    <sheet name="Сводка" sheetId="2" r:id="rId2"/>
    <sheet name="Списки" sheetId="3" state="hidden" r:id="rId3"/>
  </sheets>
  <definedNames>
    <definedName name="task_categories">'Списки'!$A$2:$A$7</definedName>
    <definedName name="task_priorities">'Списки'!$B$2:$B$4</definedName>
    <definedName name="task_statuses">'Списки'!$C$2:$C$5</definedName>
  </definedNames>
  <calcPr calcId="171027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dimension ref="A1:K201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8" customWidth="1"/>
    <col min="2" max="2" width="16" customWidth="1"/>
    <col min="3" max="3" width="38" customWidth="1"/>
    <col min="4" max="4" width="18" customWidth="1"/>
    <col min="5" max="5" width="20" customWidth="1"/>
    <col min="6" max="6" width="12" customWidth="1"/>
    <col min="7" max="7" width="14" customWidth="1"/>
    <col min="8" max="8" width="14" customWidth="1"/>
    <col min="9" max="9" width="14" customWidth="1"/>
    <col min="10" max="10" width="12" customWidth="1"/>
    <col min="11" max="11" width="30" customWidth="1"/>
  </cols>
  <sheetData>
    <row r="1" spans="1:11" ht="24" customHeight="1">
      <c r="A1" s="1" t="inlineStr">
        <is>
          <t>ID</t>
        </is>
      </c>
      <c r="B1" s="1" t="inlineStr">
        <is>
          <t>Дата постановки</t>
        </is>
      </c>
      <c r="C1" s="1" t="inlineStr">
        <is>
          <t>Задача</t>
        </is>
      </c>
      <c r="D1" s="1" t="inlineStr">
        <is>
          <t>Категория</t>
        </is>
      </c>
      <c r="E1" s="1" t="inlineStr">
        <is>
          <t>Ответственный</t>
        </is>
      </c>
      <c r="F1" s="1" t="inlineStr">
        <is>
          <t>Приоритет</t>
        </is>
      </c>
      <c r="G1" s="1" t="inlineStr">
        <is>
          <t>Статус</t>
        </is>
      </c>
      <c r="H1" s="1" t="inlineStr">
        <is>
          <t>Срок</t>
        </is>
      </c>
      <c r="I1" s="1" t="inlineStr">
        <is>
          <t>Осталось дней</t>
        </is>
      </c>
      <c r="J1" s="1" t="inlineStr">
        <is>
          <t>Просрочено</t>
        </is>
      </c>
      <c r="K1" s="1" t="inlineStr">
        <is>
          <t>Комментарий</t>
        </is>
      </c>
    </row>
    <row r="2" spans="1:11">
      <c r="A2" s="4">
        <f>IF(C2="","",ROW()-1)</f>
      </c>
      <c r="B2" s="3"/>
      <c r="C2" s="2"/>
      <c r="D2" s="2"/>
      <c r="E2" s="2"/>
      <c r="F2" s="4"/>
      <c r="G2" s="4"/>
      <c r="H2" s="3"/>
      <c r="I2" s="4">
        <f>IF(H2="","",H2-TODAY())</f>
      </c>
      <c r="J2" s="4" t="str">
        <f>IF(OR(H2="",G2="Выполнено"),"",IF(H2&lt;TODAY(),"Да","Нет"))</f>
      </c>
      <c r="K2" s="2"/>
    </row>
    <row r="3" spans="1:11">
      <c r="A3" s="4">
        <f>IF(C3="","",ROW()-1)</f>
      </c>
      <c r="B3" s="3"/>
      <c r="C3" s="2"/>
      <c r="D3" s="2"/>
      <c r="E3" s="2"/>
      <c r="F3" s="4"/>
      <c r="G3" s="4"/>
      <c r="H3" s="3"/>
      <c r="I3" s="4">
        <f>IF(H3="","",H3-TODAY())</f>
      </c>
      <c r="J3" s="4" t="str">
        <f>IF(OR(H3="",G3="Выполнено"),"",IF(H3&lt;TODAY(),"Да","Нет"))</f>
      </c>
      <c r="K3" s="2"/>
    </row>
    <row r="4" spans="1:11">
      <c r="A4" s="4">
        <f>IF(C4="","",ROW()-1)</f>
      </c>
      <c r="B4" s="3"/>
      <c r="C4" s="2"/>
      <c r="D4" s="2"/>
      <c r="E4" s="2"/>
      <c r="F4" s="4"/>
      <c r="G4" s="4"/>
      <c r="H4" s="3"/>
      <c r="I4" s="4">
        <f>IF(H4="","",H4-TODAY())</f>
      </c>
      <c r="J4" s="4" t="str">
        <f>IF(OR(H4="",G4="Выполнено"),"",IF(H4&lt;TODAY(),"Да","Нет"))</f>
      </c>
      <c r="K4" s="2"/>
    </row>
    <row r="5" spans="1:11">
      <c r="A5" s="4">
        <f>IF(C5="","",ROW()-1)</f>
      </c>
      <c r="B5" s="3"/>
      <c r="C5" s="2"/>
      <c r="D5" s="2"/>
      <c r="E5" s="2"/>
      <c r="F5" s="4"/>
      <c r="G5" s="4"/>
      <c r="H5" s="3"/>
      <c r="I5" s="4">
        <f>IF(H5="","",H5-TODAY())</f>
      </c>
      <c r="J5" s="4" t="str">
        <f>IF(OR(H5="",G5="Выполнено"),"",IF(H5&lt;TODAY(),"Да","Нет"))</f>
      </c>
      <c r="K5" s="2"/>
    </row>
    <row r="6" spans="1:11">
      <c r="A6" s="4">
        <f>IF(C6="","",ROW()-1)</f>
      </c>
      <c r="B6" s="3"/>
      <c r="C6" s="2"/>
      <c r="D6" s="2"/>
      <c r="E6" s="2"/>
      <c r="F6" s="4"/>
      <c r="G6" s="4"/>
      <c r="H6" s="3"/>
      <c r="I6" s="4">
        <f>IF(H6="","",H6-TODAY())</f>
      </c>
      <c r="J6" s="4" t="str">
        <f>IF(OR(H6="",G6="Выполнено"),"",IF(H6&lt;TODAY(),"Да","Нет"))</f>
      </c>
      <c r="K6" s="2"/>
    </row>
    <row r="7" spans="1:11">
      <c r="A7" s="4">
        <f>IF(C7="","",ROW()-1)</f>
      </c>
      <c r="B7" s="3"/>
      <c r="C7" s="2"/>
      <c r="D7" s="2"/>
      <c r="E7" s="2"/>
      <c r="F7" s="4"/>
      <c r="G7" s="4"/>
      <c r="H7" s="3"/>
      <c r="I7" s="4">
        <f>IF(H7="","",H7-TODAY())</f>
      </c>
      <c r="J7" s="4" t="str">
        <f>IF(OR(H7="",G7="Выполнено"),"",IF(H7&lt;TODAY(),"Да","Нет"))</f>
      </c>
      <c r="K7" s="2"/>
    </row>
    <row r="8" spans="1:11">
      <c r="A8" s="4">
        <f>IF(C8="","",ROW()-1)</f>
      </c>
      <c r="B8" s="3"/>
      <c r="C8" s="2"/>
      <c r="D8" s="2"/>
      <c r="E8" s="2"/>
      <c r="F8" s="4"/>
      <c r="G8" s="4"/>
      <c r="H8" s="3"/>
      <c r="I8" s="4">
        <f>IF(H8="","",H8-TODAY())</f>
      </c>
      <c r="J8" s="4" t="str">
        <f>IF(OR(H8="",G8="Выполнено"),"",IF(H8&lt;TODAY(),"Да","Нет"))</f>
      </c>
      <c r="K8" s="2"/>
    </row>
    <row r="9" spans="1:11">
      <c r="A9" s="4">
        <f>IF(C9="","",ROW()-1)</f>
      </c>
      <c r="B9" s="3"/>
      <c r="C9" s="2"/>
      <c r="D9" s="2"/>
      <c r="E9" s="2"/>
      <c r="F9" s="4"/>
      <c r="G9" s="4"/>
      <c r="H9" s="3"/>
      <c r="I9" s="4">
        <f>IF(H9="","",H9-TODAY())</f>
      </c>
      <c r="J9" s="4" t="str">
        <f>IF(OR(H9="",G9="Выполнено"),"",IF(H9&lt;TODAY(),"Да","Нет"))</f>
      </c>
      <c r="K9" s="2"/>
    </row>
    <row r="10" spans="1:11">
      <c r="A10" s="4">
        <f>IF(C10="","",ROW()-1)</f>
      </c>
      <c r="B10" s="3"/>
      <c r="C10" s="2"/>
      <c r="D10" s="2"/>
      <c r="E10" s="2"/>
      <c r="F10" s="4"/>
      <c r="G10" s="4"/>
      <c r="H10" s="3"/>
      <c r="I10" s="4">
        <f>IF(H10="","",H10-TODAY())</f>
      </c>
      <c r="J10" s="4" t="str">
        <f>IF(OR(H10="",G10="Выполнено"),"",IF(H10&lt;TODAY(),"Да","Нет"))</f>
      </c>
      <c r="K10" s="2"/>
    </row>
    <row r="11" spans="1:11">
      <c r="A11" s="4">
        <f>IF(C11="","",ROW()-1)</f>
      </c>
      <c r="B11" s="3"/>
      <c r="C11" s="2"/>
      <c r="D11" s="2"/>
      <c r="E11" s="2"/>
      <c r="F11" s="4"/>
      <c r="G11" s="4"/>
      <c r="H11" s="3"/>
      <c r="I11" s="4">
        <f>IF(H11="","",H11-TODAY())</f>
      </c>
      <c r="J11" s="4" t="str">
        <f>IF(OR(H11="",G11="Выполнено"),"",IF(H11&lt;TODAY(),"Да","Нет"))</f>
      </c>
      <c r="K11" s="2"/>
    </row>
    <row r="12" spans="1:11">
      <c r="A12" s="4">
        <f>IF(C12="","",ROW()-1)</f>
      </c>
      <c r="B12" s="3"/>
      <c r="C12" s="2"/>
      <c r="D12" s="2"/>
      <c r="E12" s="2"/>
      <c r="F12" s="4"/>
      <c r="G12" s="4"/>
      <c r="H12" s="3"/>
      <c r="I12" s="4">
        <f>IF(H12="","",H12-TODAY())</f>
      </c>
      <c r="J12" s="4" t="str">
        <f>IF(OR(H12="",G12="Выполнено"),"",IF(H12&lt;TODAY(),"Да","Нет"))</f>
      </c>
      <c r="K12" s="2"/>
    </row>
    <row r="13" spans="1:11">
      <c r="A13" s="4">
        <f>IF(C13="","",ROW()-1)</f>
      </c>
      <c r="B13" s="3"/>
      <c r="C13" s="2"/>
      <c r="D13" s="2"/>
      <c r="E13" s="2"/>
      <c r="F13" s="4"/>
      <c r="G13" s="4"/>
      <c r="H13" s="3"/>
      <c r="I13" s="4">
        <f>IF(H13="","",H13-TODAY())</f>
      </c>
      <c r="J13" s="4" t="str">
        <f>IF(OR(H13="",G13="Выполнено"),"",IF(H13&lt;TODAY(),"Да","Нет"))</f>
      </c>
      <c r="K13" s="2"/>
    </row>
    <row r="14" spans="1:11">
      <c r="A14" s="4">
        <f>IF(C14="","",ROW()-1)</f>
      </c>
      <c r="B14" s="3"/>
      <c r="C14" s="2"/>
      <c r="D14" s="2"/>
      <c r="E14" s="2"/>
      <c r="F14" s="4"/>
      <c r="G14" s="4"/>
      <c r="H14" s="3"/>
      <c r="I14" s="4">
        <f>IF(H14="","",H14-TODAY())</f>
      </c>
      <c r="J14" s="4" t="str">
        <f>IF(OR(H14="",G14="Выполнено"),"",IF(H14&lt;TODAY(),"Да","Нет"))</f>
      </c>
      <c r="K14" s="2"/>
    </row>
    <row r="15" spans="1:11">
      <c r="A15" s="4">
        <f>IF(C15="","",ROW()-1)</f>
      </c>
      <c r="B15" s="3"/>
      <c r="C15" s="2"/>
      <c r="D15" s="2"/>
      <c r="E15" s="2"/>
      <c r="F15" s="4"/>
      <c r="G15" s="4"/>
      <c r="H15" s="3"/>
      <c r="I15" s="4">
        <f>IF(H15="","",H15-TODAY())</f>
      </c>
      <c r="J15" s="4" t="str">
        <f>IF(OR(H15="",G15="Выполнено"),"",IF(H15&lt;TODAY(),"Да","Нет"))</f>
      </c>
      <c r="K15" s="2"/>
    </row>
    <row r="16" spans="1:11">
      <c r="A16" s="4">
        <f>IF(C16="","",ROW()-1)</f>
      </c>
      <c r="B16" s="3"/>
      <c r="C16" s="2"/>
      <c r="D16" s="2"/>
      <c r="E16" s="2"/>
      <c r="F16" s="4"/>
      <c r="G16" s="4"/>
      <c r="H16" s="3"/>
      <c r="I16" s="4">
        <f>IF(H16="","",H16-TODAY())</f>
      </c>
      <c r="J16" s="4" t="str">
        <f>IF(OR(H16="",G16="Выполнено"),"",IF(H16&lt;TODAY(),"Да","Нет"))</f>
      </c>
      <c r="K16" s="2"/>
    </row>
    <row r="17" spans="1:11">
      <c r="A17" s="4">
        <f>IF(C17="","",ROW()-1)</f>
      </c>
      <c r="B17" s="3"/>
      <c r="C17" s="2"/>
      <c r="D17" s="2"/>
      <c r="E17" s="2"/>
      <c r="F17" s="4"/>
      <c r="G17" s="4"/>
      <c r="H17" s="3"/>
      <c r="I17" s="4">
        <f>IF(H17="","",H17-TODAY())</f>
      </c>
      <c r="J17" s="4" t="str">
        <f>IF(OR(H17="",G17="Выполнено"),"",IF(H17&lt;TODAY(),"Да","Нет"))</f>
      </c>
      <c r="K17" s="2"/>
    </row>
    <row r="18" spans="1:11">
      <c r="A18" s="4">
        <f>IF(C18="","",ROW()-1)</f>
      </c>
      <c r="B18" s="3"/>
      <c r="C18" s="2"/>
      <c r="D18" s="2"/>
      <c r="E18" s="2"/>
      <c r="F18" s="4"/>
      <c r="G18" s="4"/>
      <c r="H18" s="3"/>
      <c r="I18" s="4">
        <f>IF(H18="","",H18-TODAY())</f>
      </c>
      <c r="J18" s="4" t="str">
        <f>IF(OR(H18="",G18="Выполнено"),"",IF(H18&lt;TODAY(),"Да","Нет"))</f>
      </c>
      <c r="K18" s="2"/>
    </row>
    <row r="19" spans="1:11">
      <c r="A19" s="4">
        <f>IF(C19="","",ROW()-1)</f>
      </c>
      <c r="B19" s="3"/>
      <c r="C19" s="2"/>
      <c r="D19" s="2"/>
      <c r="E19" s="2"/>
      <c r="F19" s="4"/>
      <c r="G19" s="4"/>
      <c r="H19" s="3"/>
      <c r="I19" s="4">
        <f>IF(H19="","",H19-TODAY())</f>
      </c>
      <c r="J19" s="4" t="str">
        <f>IF(OR(H19="",G19="Выполнено"),"",IF(H19&lt;TODAY(),"Да","Нет"))</f>
      </c>
      <c r="K19" s="2"/>
    </row>
    <row r="20" spans="1:11">
      <c r="A20" s="4">
        <f>IF(C20="","",ROW()-1)</f>
      </c>
      <c r="B20" s="3"/>
      <c r="C20" s="2"/>
      <c r="D20" s="2"/>
      <c r="E20" s="2"/>
      <c r="F20" s="4"/>
      <c r="G20" s="4"/>
      <c r="H20" s="3"/>
      <c r="I20" s="4">
        <f>IF(H20="","",H20-TODAY())</f>
      </c>
      <c r="J20" s="4" t="str">
        <f>IF(OR(H20="",G20="Выполнено"),"",IF(H20&lt;TODAY(),"Да","Нет"))</f>
      </c>
      <c r="K20" s="2"/>
    </row>
    <row r="21" spans="1:11">
      <c r="A21" s="4">
        <f>IF(C21="","",ROW()-1)</f>
      </c>
      <c r="B21" s="3"/>
      <c r="C21" s="2"/>
      <c r="D21" s="2"/>
      <c r="E21" s="2"/>
      <c r="F21" s="4"/>
      <c r="G21" s="4"/>
      <c r="H21" s="3"/>
      <c r="I21" s="4">
        <f>IF(H21="","",H21-TODAY())</f>
      </c>
      <c r="J21" s="4" t="str">
        <f>IF(OR(H21="",G21="Выполнено"),"",IF(H21&lt;TODAY(),"Да","Нет"))</f>
      </c>
      <c r="K21" s="2"/>
    </row>
    <row r="22" spans="1:11">
      <c r="A22" s="4">
        <f>IF(C22="","",ROW()-1)</f>
      </c>
      <c r="B22" s="3"/>
      <c r="C22" s="2"/>
      <c r="D22" s="2"/>
      <c r="E22" s="2"/>
      <c r="F22" s="4"/>
      <c r="G22" s="4"/>
      <c r="H22" s="3"/>
      <c r="I22" s="4">
        <f>IF(H22="","",H22-TODAY())</f>
      </c>
      <c r="J22" s="4" t="str">
        <f>IF(OR(H22="",G22="Выполнено"),"",IF(H22&lt;TODAY(),"Да","Нет"))</f>
      </c>
      <c r="K22" s="2"/>
    </row>
    <row r="23" spans="1:11">
      <c r="A23" s="4">
        <f>IF(C23="","",ROW()-1)</f>
      </c>
      <c r="B23" s="3"/>
      <c r="C23" s="2"/>
      <c r="D23" s="2"/>
      <c r="E23" s="2"/>
      <c r="F23" s="4"/>
      <c r="G23" s="4"/>
      <c r="H23" s="3"/>
      <c r="I23" s="4">
        <f>IF(H23="","",H23-TODAY())</f>
      </c>
      <c r="J23" s="4" t="str">
        <f>IF(OR(H23="",G23="Выполнено"),"",IF(H23&lt;TODAY(),"Да","Нет"))</f>
      </c>
      <c r="K23" s="2"/>
    </row>
    <row r="24" spans="1:11">
      <c r="A24" s="4">
        <f>IF(C24="","",ROW()-1)</f>
      </c>
      <c r="B24" s="3"/>
      <c r="C24" s="2"/>
      <c r="D24" s="2"/>
      <c r="E24" s="2"/>
      <c r="F24" s="4"/>
      <c r="G24" s="4"/>
      <c r="H24" s="3"/>
      <c r="I24" s="4">
        <f>IF(H24="","",H24-TODAY())</f>
      </c>
      <c r="J24" s="4" t="str">
        <f>IF(OR(H24="",G24="Выполнено"),"",IF(H24&lt;TODAY(),"Да","Нет"))</f>
      </c>
      <c r="K24" s="2"/>
    </row>
    <row r="25" spans="1:11">
      <c r="A25" s="4">
        <f>IF(C25="","",ROW()-1)</f>
      </c>
      <c r="B25" s="3"/>
      <c r="C25" s="2"/>
      <c r="D25" s="2"/>
      <c r="E25" s="2"/>
      <c r="F25" s="4"/>
      <c r="G25" s="4"/>
      <c r="H25" s="3"/>
      <c r="I25" s="4">
        <f>IF(H25="","",H25-TODAY())</f>
      </c>
      <c r="J25" s="4" t="str">
        <f>IF(OR(H25="",G25="Выполнено"),"",IF(H25&lt;TODAY(),"Да","Нет"))</f>
      </c>
      <c r="K25" s="2"/>
    </row>
    <row r="26" spans="1:11">
      <c r="A26" s="4">
        <f>IF(C26="","",ROW()-1)</f>
      </c>
      <c r="B26" s="3"/>
      <c r="C26" s="2"/>
      <c r="D26" s="2"/>
      <c r="E26" s="2"/>
      <c r="F26" s="4"/>
      <c r="G26" s="4"/>
      <c r="H26" s="3"/>
      <c r="I26" s="4">
        <f>IF(H26="","",H26-TODAY())</f>
      </c>
      <c r="J26" s="4" t="str">
        <f>IF(OR(H26="",G26="Выполнено"),"",IF(H26&lt;TODAY(),"Да","Нет"))</f>
      </c>
      <c r="K26" s="2"/>
    </row>
    <row r="27" spans="1:11">
      <c r="A27" s="4">
        <f>IF(C27="","",ROW()-1)</f>
      </c>
      <c r="B27" s="3"/>
      <c r="C27" s="2"/>
      <c r="D27" s="2"/>
      <c r="E27" s="2"/>
      <c r="F27" s="4"/>
      <c r="G27" s="4"/>
      <c r="H27" s="3"/>
      <c r="I27" s="4">
        <f>IF(H27="","",H27-TODAY())</f>
      </c>
      <c r="J27" s="4" t="str">
        <f>IF(OR(H27="",G27="Выполнено"),"",IF(H27&lt;TODAY(),"Да","Нет"))</f>
      </c>
      <c r="K27" s="2"/>
    </row>
    <row r="28" spans="1:11">
      <c r="A28" s="4">
        <f>IF(C28="","",ROW()-1)</f>
      </c>
      <c r="B28" s="3"/>
      <c r="C28" s="2"/>
      <c r="D28" s="2"/>
      <c r="E28" s="2"/>
      <c r="F28" s="4"/>
      <c r="G28" s="4"/>
      <c r="H28" s="3"/>
      <c r="I28" s="4">
        <f>IF(H28="","",H28-TODAY())</f>
      </c>
      <c r="J28" s="4" t="str">
        <f>IF(OR(H28="",G28="Выполнено"),"",IF(H28&lt;TODAY(),"Да","Нет"))</f>
      </c>
      <c r="K28" s="2"/>
    </row>
    <row r="29" spans="1:11">
      <c r="A29" s="4">
        <f>IF(C29="","",ROW()-1)</f>
      </c>
      <c r="B29" s="3"/>
      <c r="C29" s="2"/>
      <c r="D29" s="2"/>
      <c r="E29" s="2"/>
      <c r="F29" s="4"/>
      <c r="G29" s="4"/>
      <c r="H29" s="3"/>
      <c r="I29" s="4">
        <f>IF(H29="","",H29-TODAY())</f>
      </c>
      <c r="J29" s="4" t="str">
        <f>IF(OR(H29="",G29="Выполнено"),"",IF(H29&lt;TODAY(),"Да","Нет"))</f>
      </c>
      <c r="K29" s="2"/>
    </row>
    <row r="30" spans="1:11">
      <c r="A30" s="4">
        <f>IF(C30="","",ROW()-1)</f>
      </c>
      <c r="B30" s="3"/>
      <c r="C30" s="2"/>
      <c r="D30" s="2"/>
      <c r="E30" s="2"/>
      <c r="F30" s="4"/>
      <c r="G30" s="4"/>
      <c r="H30" s="3"/>
      <c r="I30" s="4">
        <f>IF(H30="","",H30-TODAY())</f>
      </c>
      <c r="J30" s="4" t="str">
        <f>IF(OR(H30="",G30="Выполнено"),"",IF(H30&lt;TODAY(),"Да","Нет"))</f>
      </c>
      <c r="K30" s="2"/>
    </row>
    <row r="31" spans="1:11">
      <c r="A31" s="4">
        <f>IF(C31="","",ROW()-1)</f>
      </c>
      <c r="B31" s="3"/>
      <c r="C31" s="2"/>
      <c r="D31" s="2"/>
      <c r="E31" s="2"/>
      <c r="F31" s="4"/>
      <c r="G31" s="4"/>
      <c r="H31" s="3"/>
      <c r="I31" s="4">
        <f>IF(H31="","",H31-TODAY())</f>
      </c>
      <c r="J31" s="4" t="str">
        <f>IF(OR(H31="",G31="Выполнено"),"",IF(H31&lt;TODAY(),"Да","Нет"))</f>
      </c>
      <c r="K31" s="2"/>
    </row>
    <row r="32" spans="1:11">
      <c r="A32" s="4">
        <f>IF(C32="","",ROW()-1)</f>
      </c>
      <c r="B32" s="3"/>
      <c r="C32" s="2"/>
      <c r="D32" s="2"/>
      <c r="E32" s="2"/>
      <c r="F32" s="4"/>
      <c r="G32" s="4"/>
      <c r="H32" s="3"/>
      <c r="I32" s="4">
        <f>IF(H32="","",H32-TODAY())</f>
      </c>
      <c r="J32" s="4" t="str">
        <f>IF(OR(H32="",G32="Выполнено"),"",IF(H32&lt;TODAY(),"Да","Нет"))</f>
      </c>
      <c r="K32" s="2"/>
    </row>
    <row r="33" spans="1:11">
      <c r="A33" s="4">
        <f>IF(C33="","",ROW()-1)</f>
      </c>
      <c r="B33" s="3"/>
      <c r="C33" s="2"/>
      <c r="D33" s="2"/>
      <c r="E33" s="2"/>
      <c r="F33" s="4"/>
      <c r="G33" s="4"/>
      <c r="H33" s="3"/>
      <c r="I33" s="4">
        <f>IF(H33="","",H33-TODAY())</f>
      </c>
      <c r="J33" s="4" t="str">
        <f>IF(OR(H33="",G33="Выполнено"),"",IF(H33&lt;TODAY(),"Да","Нет"))</f>
      </c>
      <c r="K33" s="2"/>
    </row>
    <row r="34" spans="1:11">
      <c r="A34" s="4">
        <f>IF(C34="","",ROW()-1)</f>
      </c>
      <c r="B34" s="3"/>
      <c r="C34" s="2"/>
      <c r="D34" s="2"/>
      <c r="E34" s="2"/>
      <c r="F34" s="4"/>
      <c r="G34" s="4"/>
      <c r="H34" s="3"/>
      <c r="I34" s="4">
        <f>IF(H34="","",H34-TODAY())</f>
      </c>
      <c r="J34" s="4" t="str">
        <f>IF(OR(H34="",G34="Выполнено"),"",IF(H34&lt;TODAY(),"Да","Нет"))</f>
      </c>
      <c r="K34" s="2"/>
    </row>
    <row r="35" spans="1:11">
      <c r="A35" s="4">
        <f>IF(C35="","",ROW()-1)</f>
      </c>
      <c r="B35" s="3"/>
      <c r="C35" s="2"/>
      <c r="D35" s="2"/>
      <c r="E35" s="2"/>
      <c r="F35" s="4"/>
      <c r="G35" s="4"/>
      <c r="H35" s="3"/>
      <c r="I35" s="4">
        <f>IF(H35="","",H35-TODAY())</f>
      </c>
      <c r="J35" s="4" t="str">
        <f>IF(OR(H35="",G35="Выполнено"),"",IF(H35&lt;TODAY(),"Да","Нет"))</f>
      </c>
      <c r="K35" s="2"/>
    </row>
    <row r="36" spans="1:11">
      <c r="A36" s="4">
        <f>IF(C36="","",ROW()-1)</f>
      </c>
      <c r="B36" s="3"/>
      <c r="C36" s="2"/>
      <c r="D36" s="2"/>
      <c r="E36" s="2"/>
      <c r="F36" s="4"/>
      <c r="G36" s="4"/>
      <c r="H36" s="3"/>
      <c r="I36" s="4">
        <f>IF(H36="","",H36-TODAY())</f>
      </c>
      <c r="J36" s="4" t="str">
        <f>IF(OR(H36="",G36="Выполнено"),"",IF(H36&lt;TODAY(),"Да","Нет"))</f>
      </c>
      <c r="K36" s="2"/>
    </row>
    <row r="37" spans="1:11">
      <c r="A37" s="4">
        <f>IF(C37="","",ROW()-1)</f>
      </c>
      <c r="B37" s="3"/>
      <c r="C37" s="2"/>
      <c r="D37" s="2"/>
      <c r="E37" s="2"/>
      <c r="F37" s="4"/>
      <c r="G37" s="4"/>
      <c r="H37" s="3"/>
      <c r="I37" s="4">
        <f>IF(H37="","",H37-TODAY())</f>
      </c>
      <c r="J37" s="4" t="str">
        <f>IF(OR(H37="",G37="Выполнено"),"",IF(H37&lt;TODAY(),"Да","Нет"))</f>
      </c>
      <c r="K37" s="2"/>
    </row>
    <row r="38" spans="1:11">
      <c r="A38" s="4">
        <f>IF(C38="","",ROW()-1)</f>
      </c>
      <c r="B38" s="3"/>
      <c r="C38" s="2"/>
      <c r="D38" s="2"/>
      <c r="E38" s="2"/>
      <c r="F38" s="4"/>
      <c r="G38" s="4"/>
      <c r="H38" s="3"/>
      <c r="I38" s="4">
        <f>IF(H38="","",H38-TODAY())</f>
      </c>
      <c r="J38" s="4" t="str">
        <f>IF(OR(H38="",G38="Выполнено"),"",IF(H38&lt;TODAY(),"Да","Нет"))</f>
      </c>
      <c r="K38" s="2"/>
    </row>
    <row r="39" spans="1:11">
      <c r="A39" s="4">
        <f>IF(C39="","",ROW()-1)</f>
      </c>
      <c r="B39" s="3"/>
      <c r="C39" s="2"/>
      <c r="D39" s="2"/>
      <c r="E39" s="2"/>
      <c r="F39" s="4"/>
      <c r="G39" s="4"/>
      <c r="H39" s="3"/>
      <c r="I39" s="4">
        <f>IF(H39="","",H39-TODAY())</f>
      </c>
      <c r="J39" s="4" t="str">
        <f>IF(OR(H39="",G39="Выполнено"),"",IF(H39&lt;TODAY(),"Да","Нет"))</f>
      </c>
      <c r="K39" s="2"/>
    </row>
    <row r="40" spans="1:11">
      <c r="A40" s="4">
        <f>IF(C40="","",ROW()-1)</f>
      </c>
      <c r="B40" s="3"/>
      <c r="C40" s="2"/>
      <c r="D40" s="2"/>
      <c r="E40" s="2"/>
      <c r="F40" s="4"/>
      <c r="G40" s="4"/>
      <c r="H40" s="3"/>
      <c r="I40" s="4">
        <f>IF(H40="","",H40-TODAY())</f>
      </c>
      <c r="J40" s="4" t="str">
        <f>IF(OR(H40="",G40="Выполнено"),"",IF(H40&lt;TODAY(),"Да","Нет"))</f>
      </c>
      <c r="K40" s="2"/>
    </row>
    <row r="41" spans="1:11">
      <c r="A41" s="4">
        <f>IF(C41="","",ROW()-1)</f>
      </c>
      <c r="B41" s="3"/>
      <c r="C41" s="2"/>
      <c r="D41" s="2"/>
      <c r="E41" s="2"/>
      <c r="F41" s="4"/>
      <c r="G41" s="4"/>
      <c r="H41" s="3"/>
      <c r="I41" s="4">
        <f>IF(H41="","",H41-TODAY())</f>
      </c>
      <c r="J41" s="4" t="str">
        <f>IF(OR(H41="",G41="Выполнено"),"",IF(H41&lt;TODAY(),"Да","Нет"))</f>
      </c>
      <c r="K41" s="2"/>
    </row>
    <row r="42" spans="1:11">
      <c r="A42" s="4">
        <f>IF(C42="","",ROW()-1)</f>
      </c>
      <c r="B42" s="3"/>
      <c r="C42" s="2"/>
      <c r="D42" s="2"/>
      <c r="E42" s="2"/>
      <c r="F42" s="4"/>
      <c r="G42" s="4"/>
      <c r="H42" s="3"/>
      <c r="I42" s="4">
        <f>IF(H42="","",H42-TODAY())</f>
      </c>
      <c r="J42" s="4" t="str">
        <f>IF(OR(H42="",G42="Выполнено"),"",IF(H42&lt;TODAY(),"Да","Нет"))</f>
      </c>
      <c r="K42" s="2"/>
    </row>
    <row r="43" spans="1:11">
      <c r="A43" s="4">
        <f>IF(C43="","",ROW()-1)</f>
      </c>
      <c r="B43" s="3"/>
      <c r="C43" s="2"/>
      <c r="D43" s="2"/>
      <c r="E43" s="2"/>
      <c r="F43" s="4"/>
      <c r="G43" s="4"/>
      <c r="H43" s="3"/>
      <c r="I43" s="4">
        <f>IF(H43="","",H43-TODAY())</f>
      </c>
      <c r="J43" s="4" t="str">
        <f>IF(OR(H43="",G43="Выполнено"),"",IF(H43&lt;TODAY(),"Да","Нет"))</f>
      </c>
      <c r="K43" s="2"/>
    </row>
    <row r="44" spans="1:11">
      <c r="A44" s="4">
        <f>IF(C44="","",ROW()-1)</f>
      </c>
      <c r="B44" s="3"/>
      <c r="C44" s="2"/>
      <c r="D44" s="2"/>
      <c r="E44" s="2"/>
      <c r="F44" s="4"/>
      <c r="G44" s="4"/>
      <c r="H44" s="3"/>
      <c r="I44" s="4">
        <f>IF(H44="","",H44-TODAY())</f>
      </c>
      <c r="J44" s="4" t="str">
        <f>IF(OR(H44="",G44="Выполнено"),"",IF(H44&lt;TODAY(),"Да","Нет"))</f>
      </c>
      <c r="K44" s="2"/>
    </row>
    <row r="45" spans="1:11">
      <c r="A45" s="4">
        <f>IF(C45="","",ROW()-1)</f>
      </c>
      <c r="B45" s="3"/>
      <c r="C45" s="2"/>
      <c r="D45" s="2"/>
      <c r="E45" s="2"/>
      <c r="F45" s="4"/>
      <c r="G45" s="4"/>
      <c r="H45" s="3"/>
      <c r="I45" s="4">
        <f>IF(H45="","",H45-TODAY())</f>
      </c>
      <c r="J45" s="4" t="str">
        <f>IF(OR(H45="",G45="Выполнено"),"",IF(H45&lt;TODAY(),"Да","Нет"))</f>
      </c>
      <c r="K45" s="2"/>
    </row>
    <row r="46" spans="1:11">
      <c r="A46" s="4">
        <f>IF(C46="","",ROW()-1)</f>
      </c>
      <c r="B46" s="3"/>
      <c r="C46" s="2"/>
      <c r="D46" s="2"/>
      <c r="E46" s="2"/>
      <c r="F46" s="4"/>
      <c r="G46" s="4"/>
      <c r="H46" s="3"/>
      <c r="I46" s="4">
        <f>IF(H46="","",H46-TODAY())</f>
      </c>
      <c r="J46" s="4" t="str">
        <f>IF(OR(H46="",G46="Выполнено"),"",IF(H46&lt;TODAY(),"Да","Нет"))</f>
      </c>
      <c r="K46" s="2"/>
    </row>
    <row r="47" spans="1:11">
      <c r="A47" s="4">
        <f>IF(C47="","",ROW()-1)</f>
      </c>
      <c r="B47" s="3"/>
      <c r="C47" s="2"/>
      <c r="D47" s="2"/>
      <c r="E47" s="2"/>
      <c r="F47" s="4"/>
      <c r="G47" s="4"/>
      <c r="H47" s="3"/>
      <c r="I47" s="4">
        <f>IF(H47="","",H47-TODAY())</f>
      </c>
      <c r="J47" s="4" t="str">
        <f>IF(OR(H47="",G47="Выполнено"),"",IF(H47&lt;TODAY(),"Да","Нет"))</f>
      </c>
      <c r="K47" s="2"/>
    </row>
    <row r="48" spans="1:11">
      <c r="A48" s="4">
        <f>IF(C48="","",ROW()-1)</f>
      </c>
      <c r="B48" s="3"/>
      <c r="C48" s="2"/>
      <c r="D48" s="2"/>
      <c r="E48" s="2"/>
      <c r="F48" s="4"/>
      <c r="G48" s="4"/>
      <c r="H48" s="3"/>
      <c r="I48" s="4">
        <f>IF(H48="","",H48-TODAY())</f>
      </c>
      <c r="J48" s="4" t="str">
        <f>IF(OR(H48="",G48="Выполнено"),"",IF(H48&lt;TODAY(),"Да","Нет"))</f>
      </c>
      <c r="K48" s="2"/>
    </row>
    <row r="49" spans="1:11">
      <c r="A49" s="4">
        <f>IF(C49="","",ROW()-1)</f>
      </c>
      <c r="B49" s="3"/>
      <c r="C49" s="2"/>
      <c r="D49" s="2"/>
      <c r="E49" s="2"/>
      <c r="F49" s="4"/>
      <c r="G49" s="4"/>
      <c r="H49" s="3"/>
      <c r="I49" s="4">
        <f>IF(H49="","",H49-TODAY())</f>
      </c>
      <c r="J49" s="4" t="str">
        <f>IF(OR(H49="",G49="Выполнено"),"",IF(H49&lt;TODAY(),"Да","Нет"))</f>
      </c>
      <c r="K49" s="2"/>
    </row>
    <row r="50" spans="1:11">
      <c r="A50" s="4">
        <f>IF(C50="","",ROW()-1)</f>
      </c>
      <c r="B50" s="3"/>
      <c r="C50" s="2"/>
      <c r="D50" s="2"/>
      <c r="E50" s="2"/>
      <c r="F50" s="4"/>
      <c r="G50" s="4"/>
      <c r="H50" s="3"/>
      <c r="I50" s="4">
        <f>IF(H50="","",H50-TODAY())</f>
      </c>
      <c r="J50" s="4" t="str">
        <f>IF(OR(H50="",G50="Выполнено"),"",IF(H50&lt;TODAY(),"Да","Нет"))</f>
      </c>
      <c r="K50" s="2"/>
    </row>
    <row r="51" spans="1:11">
      <c r="A51" s="4">
        <f>IF(C51="","",ROW()-1)</f>
      </c>
      <c r="B51" s="3"/>
      <c r="C51" s="2"/>
      <c r="D51" s="2"/>
      <c r="E51" s="2"/>
      <c r="F51" s="4"/>
      <c r="G51" s="4"/>
      <c r="H51" s="3"/>
      <c r="I51" s="4">
        <f>IF(H51="","",H51-TODAY())</f>
      </c>
      <c r="J51" s="4" t="str">
        <f>IF(OR(H51="",G51="Выполнено"),"",IF(H51&lt;TODAY(),"Да","Нет"))</f>
      </c>
      <c r="K51" s="2"/>
    </row>
    <row r="52" spans="1:11">
      <c r="A52" s="4">
        <f>IF(C52="","",ROW()-1)</f>
      </c>
      <c r="B52" s="3"/>
      <c r="C52" s="2"/>
      <c r="D52" s="2"/>
      <c r="E52" s="2"/>
      <c r="F52" s="4"/>
      <c r="G52" s="4"/>
      <c r="H52" s="3"/>
      <c r="I52" s="4">
        <f>IF(H52="","",H52-TODAY())</f>
      </c>
      <c r="J52" s="4" t="str">
        <f>IF(OR(H52="",G52="Выполнено"),"",IF(H52&lt;TODAY(),"Да","Нет"))</f>
      </c>
      <c r="K52" s="2"/>
    </row>
    <row r="53" spans="1:11">
      <c r="A53" s="4">
        <f>IF(C53="","",ROW()-1)</f>
      </c>
      <c r="B53" s="3"/>
      <c r="C53" s="2"/>
      <c r="D53" s="2"/>
      <c r="E53" s="2"/>
      <c r="F53" s="4"/>
      <c r="G53" s="4"/>
      <c r="H53" s="3"/>
      <c r="I53" s="4">
        <f>IF(H53="","",H53-TODAY())</f>
      </c>
      <c r="J53" s="4" t="str">
        <f>IF(OR(H53="",G53="Выполнено"),"",IF(H53&lt;TODAY(),"Да","Нет"))</f>
      </c>
      <c r="K53" s="2"/>
    </row>
    <row r="54" spans="1:11">
      <c r="A54" s="4">
        <f>IF(C54="","",ROW()-1)</f>
      </c>
      <c r="B54" s="3"/>
      <c r="C54" s="2"/>
      <c r="D54" s="2"/>
      <c r="E54" s="2"/>
      <c r="F54" s="4"/>
      <c r="G54" s="4"/>
      <c r="H54" s="3"/>
      <c r="I54" s="4">
        <f>IF(H54="","",H54-TODAY())</f>
      </c>
      <c r="J54" s="4" t="str">
        <f>IF(OR(H54="",G54="Выполнено"),"",IF(H54&lt;TODAY(),"Да","Нет"))</f>
      </c>
      <c r="K54" s="2"/>
    </row>
    <row r="55" spans="1:11">
      <c r="A55" s="4">
        <f>IF(C55="","",ROW()-1)</f>
      </c>
      <c r="B55" s="3"/>
      <c r="C55" s="2"/>
      <c r="D55" s="2"/>
      <c r="E55" s="2"/>
      <c r="F55" s="4"/>
      <c r="G55" s="4"/>
      <c r="H55" s="3"/>
      <c r="I55" s="4">
        <f>IF(H55="","",H55-TODAY())</f>
      </c>
      <c r="J55" s="4" t="str">
        <f>IF(OR(H55="",G55="Выполнено"),"",IF(H55&lt;TODAY(),"Да","Нет"))</f>
      </c>
      <c r="K55" s="2"/>
    </row>
    <row r="56" spans="1:11">
      <c r="A56" s="4">
        <f>IF(C56="","",ROW()-1)</f>
      </c>
      <c r="B56" s="3"/>
      <c r="C56" s="2"/>
      <c r="D56" s="2"/>
      <c r="E56" s="2"/>
      <c r="F56" s="4"/>
      <c r="G56" s="4"/>
      <c r="H56" s="3"/>
      <c r="I56" s="4">
        <f>IF(H56="","",H56-TODAY())</f>
      </c>
      <c r="J56" s="4" t="str">
        <f>IF(OR(H56="",G56="Выполнено"),"",IF(H56&lt;TODAY(),"Да","Нет"))</f>
      </c>
      <c r="K56" s="2"/>
    </row>
    <row r="57" spans="1:11">
      <c r="A57" s="4">
        <f>IF(C57="","",ROW()-1)</f>
      </c>
      <c r="B57" s="3"/>
      <c r="C57" s="2"/>
      <c r="D57" s="2"/>
      <c r="E57" s="2"/>
      <c r="F57" s="4"/>
      <c r="G57" s="4"/>
      <c r="H57" s="3"/>
      <c r="I57" s="4">
        <f>IF(H57="","",H57-TODAY())</f>
      </c>
      <c r="J57" s="4" t="str">
        <f>IF(OR(H57="",G57="Выполнено"),"",IF(H57&lt;TODAY(),"Да","Нет"))</f>
      </c>
      <c r="K57" s="2"/>
    </row>
    <row r="58" spans="1:11">
      <c r="A58" s="4">
        <f>IF(C58="","",ROW()-1)</f>
      </c>
      <c r="B58" s="3"/>
      <c r="C58" s="2"/>
      <c r="D58" s="2"/>
      <c r="E58" s="2"/>
      <c r="F58" s="4"/>
      <c r="G58" s="4"/>
      <c r="H58" s="3"/>
      <c r="I58" s="4">
        <f>IF(H58="","",H58-TODAY())</f>
      </c>
      <c r="J58" s="4" t="str">
        <f>IF(OR(H58="",G58="Выполнено"),"",IF(H58&lt;TODAY(),"Да","Нет"))</f>
      </c>
      <c r="K58" s="2"/>
    </row>
    <row r="59" spans="1:11">
      <c r="A59" s="4">
        <f>IF(C59="","",ROW()-1)</f>
      </c>
      <c r="B59" s="3"/>
      <c r="C59" s="2"/>
      <c r="D59" s="2"/>
      <c r="E59" s="2"/>
      <c r="F59" s="4"/>
      <c r="G59" s="4"/>
      <c r="H59" s="3"/>
      <c r="I59" s="4">
        <f>IF(H59="","",H59-TODAY())</f>
      </c>
      <c r="J59" s="4" t="str">
        <f>IF(OR(H59="",G59="Выполнено"),"",IF(H59&lt;TODAY(),"Да","Нет"))</f>
      </c>
      <c r="K59" s="2"/>
    </row>
    <row r="60" spans="1:11">
      <c r="A60" s="4">
        <f>IF(C60="","",ROW()-1)</f>
      </c>
      <c r="B60" s="3"/>
      <c r="C60" s="2"/>
      <c r="D60" s="2"/>
      <c r="E60" s="2"/>
      <c r="F60" s="4"/>
      <c r="G60" s="4"/>
      <c r="H60" s="3"/>
      <c r="I60" s="4">
        <f>IF(H60="","",H60-TODAY())</f>
      </c>
      <c r="J60" s="4" t="str">
        <f>IF(OR(H60="",G60="Выполнено"),"",IF(H60&lt;TODAY(),"Да","Нет"))</f>
      </c>
      <c r="K60" s="2"/>
    </row>
    <row r="61" spans="1:11">
      <c r="A61" s="4">
        <f>IF(C61="","",ROW()-1)</f>
      </c>
      <c r="B61" s="3"/>
      <c r="C61" s="2"/>
      <c r="D61" s="2"/>
      <c r="E61" s="2"/>
      <c r="F61" s="4"/>
      <c r="G61" s="4"/>
      <c r="H61" s="3"/>
      <c r="I61" s="4">
        <f>IF(H61="","",H61-TODAY())</f>
      </c>
      <c r="J61" s="4" t="str">
        <f>IF(OR(H61="",G61="Выполнено"),"",IF(H61&lt;TODAY(),"Да","Нет"))</f>
      </c>
      <c r="K61" s="2"/>
    </row>
    <row r="62" spans="1:11">
      <c r="A62" s="4">
        <f>IF(C62="","",ROW()-1)</f>
      </c>
      <c r="B62" s="3"/>
      <c r="C62" s="2"/>
      <c r="D62" s="2"/>
      <c r="E62" s="2"/>
      <c r="F62" s="4"/>
      <c r="G62" s="4"/>
      <c r="H62" s="3"/>
      <c r="I62" s="4">
        <f>IF(H62="","",H62-TODAY())</f>
      </c>
      <c r="J62" s="4" t="str">
        <f>IF(OR(H62="",G62="Выполнено"),"",IF(H62&lt;TODAY(),"Да","Нет"))</f>
      </c>
      <c r="K62" s="2"/>
    </row>
    <row r="63" spans="1:11">
      <c r="A63" s="4">
        <f>IF(C63="","",ROW()-1)</f>
      </c>
      <c r="B63" s="3"/>
      <c r="C63" s="2"/>
      <c r="D63" s="2"/>
      <c r="E63" s="2"/>
      <c r="F63" s="4"/>
      <c r="G63" s="4"/>
      <c r="H63" s="3"/>
      <c r="I63" s="4">
        <f>IF(H63="","",H63-TODAY())</f>
      </c>
      <c r="J63" s="4" t="str">
        <f>IF(OR(H63="",G63="Выполнено"),"",IF(H63&lt;TODAY(),"Да","Нет"))</f>
      </c>
      <c r="K63" s="2"/>
    </row>
    <row r="64" spans="1:11">
      <c r="A64" s="4">
        <f>IF(C64="","",ROW()-1)</f>
      </c>
      <c r="B64" s="3"/>
      <c r="C64" s="2"/>
      <c r="D64" s="2"/>
      <c r="E64" s="2"/>
      <c r="F64" s="4"/>
      <c r="G64" s="4"/>
      <c r="H64" s="3"/>
      <c r="I64" s="4">
        <f>IF(H64="","",H64-TODAY())</f>
      </c>
      <c r="J64" s="4" t="str">
        <f>IF(OR(H64="",G64="Выполнено"),"",IF(H64&lt;TODAY(),"Да","Нет"))</f>
      </c>
      <c r="K64" s="2"/>
    </row>
    <row r="65" spans="1:11">
      <c r="A65" s="4">
        <f>IF(C65="","",ROW()-1)</f>
      </c>
      <c r="B65" s="3"/>
      <c r="C65" s="2"/>
      <c r="D65" s="2"/>
      <c r="E65" s="2"/>
      <c r="F65" s="4"/>
      <c r="G65" s="4"/>
      <c r="H65" s="3"/>
      <c r="I65" s="4">
        <f>IF(H65="","",H65-TODAY())</f>
      </c>
      <c r="J65" s="4" t="str">
        <f>IF(OR(H65="",G65="Выполнено"),"",IF(H65&lt;TODAY(),"Да","Нет"))</f>
      </c>
      <c r="K65" s="2"/>
    </row>
    <row r="66" spans="1:11">
      <c r="A66" s="4">
        <f>IF(C66="","",ROW()-1)</f>
      </c>
      <c r="B66" s="3"/>
      <c r="C66" s="2"/>
      <c r="D66" s="2"/>
      <c r="E66" s="2"/>
      <c r="F66" s="4"/>
      <c r="G66" s="4"/>
      <c r="H66" s="3"/>
      <c r="I66" s="4">
        <f>IF(H66="","",H66-TODAY())</f>
      </c>
      <c r="J66" s="4" t="str">
        <f>IF(OR(H66="",G66="Выполнено"),"",IF(H66&lt;TODAY(),"Да","Нет"))</f>
      </c>
      <c r="K66" s="2"/>
    </row>
    <row r="67" spans="1:11">
      <c r="A67" s="4">
        <f>IF(C67="","",ROW()-1)</f>
      </c>
      <c r="B67" s="3"/>
      <c r="C67" s="2"/>
      <c r="D67" s="2"/>
      <c r="E67" s="2"/>
      <c r="F67" s="4"/>
      <c r="G67" s="4"/>
      <c r="H67" s="3"/>
      <c r="I67" s="4">
        <f>IF(H67="","",H67-TODAY())</f>
      </c>
      <c r="J67" s="4" t="str">
        <f>IF(OR(H67="",G67="Выполнено"),"",IF(H67&lt;TODAY(),"Да","Нет"))</f>
      </c>
      <c r="K67" s="2"/>
    </row>
    <row r="68" spans="1:11">
      <c r="A68" s="4">
        <f>IF(C68="","",ROW()-1)</f>
      </c>
      <c r="B68" s="3"/>
      <c r="C68" s="2"/>
      <c r="D68" s="2"/>
      <c r="E68" s="2"/>
      <c r="F68" s="4"/>
      <c r="G68" s="4"/>
      <c r="H68" s="3"/>
      <c r="I68" s="4">
        <f>IF(H68="","",H68-TODAY())</f>
      </c>
      <c r="J68" s="4" t="str">
        <f>IF(OR(H68="",G68="Выполнено"),"",IF(H68&lt;TODAY(),"Да","Нет"))</f>
      </c>
      <c r="K68" s="2"/>
    </row>
    <row r="69" spans="1:11">
      <c r="A69" s="4">
        <f>IF(C69="","",ROW()-1)</f>
      </c>
      <c r="B69" s="3"/>
      <c r="C69" s="2"/>
      <c r="D69" s="2"/>
      <c r="E69" s="2"/>
      <c r="F69" s="4"/>
      <c r="G69" s="4"/>
      <c r="H69" s="3"/>
      <c r="I69" s="4">
        <f>IF(H69="","",H69-TODAY())</f>
      </c>
      <c r="J69" s="4" t="str">
        <f>IF(OR(H69="",G69="Выполнено"),"",IF(H69&lt;TODAY(),"Да","Нет"))</f>
      </c>
      <c r="K69" s="2"/>
    </row>
    <row r="70" spans="1:11">
      <c r="A70" s="4">
        <f>IF(C70="","",ROW()-1)</f>
      </c>
      <c r="B70" s="3"/>
      <c r="C70" s="2"/>
      <c r="D70" s="2"/>
      <c r="E70" s="2"/>
      <c r="F70" s="4"/>
      <c r="G70" s="4"/>
      <c r="H70" s="3"/>
      <c r="I70" s="4">
        <f>IF(H70="","",H70-TODAY())</f>
      </c>
      <c r="J70" s="4" t="str">
        <f>IF(OR(H70="",G70="Выполнено"),"",IF(H70&lt;TODAY(),"Да","Нет"))</f>
      </c>
      <c r="K70" s="2"/>
    </row>
    <row r="71" spans="1:11">
      <c r="A71" s="4">
        <f>IF(C71="","",ROW()-1)</f>
      </c>
      <c r="B71" s="3"/>
      <c r="C71" s="2"/>
      <c r="D71" s="2"/>
      <c r="E71" s="2"/>
      <c r="F71" s="4"/>
      <c r="G71" s="4"/>
      <c r="H71" s="3"/>
      <c r="I71" s="4">
        <f>IF(H71="","",H71-TODAY())</f>
      </c>
      <c r="J71" s="4" t="str">
        <f>IF(OR(H71="",G71="Выполнено"),"",IF(H71&lt;TODAY(),"Да","Нет"))</f>
      </c>
      <c r="K71" s="2"/>
    </row>
    <row r="72" spans="1:11">
      <c r="A72" s="4">
        <f>IF(C72="","",ROW()-1)</f>
      </c>
      <c r="B72" s="3"/>
      <c r="C72" s="2"/>
      <c r="D72" s="2"/>
      <c r="E72" s="2"/>
      <c r="F72" s="4"/>
      <c r="G72" s="4"/>
      <c r="H72" s="3"/>
      <c r="I72" s="4">
        <f>IF(H72="","",H72-TODAY())</f>
      </c>
      <c r="J72" s="4" t="str">
        <f>IF(OR(H72="",G72="Выполнено"),"",IF(H72&lt;TODAY(),"Да","Нет"))</f>
      </c>
      <c r="K72" s="2"/>
    </row>
    <row r="73" spans="1:11">
      <c r="A73" s="4">
        <f>IF(C73="","",ROW()-1)</f>
      </c>
      <c r="B73" s="3"/>
      <c r="C73" s="2"/>
      <c r="D73" s="2"/>
      <c r="E73" s="2"/>
      <c r="F73" s="4"/>
      <c r="G73" s="4"/>
      <c r="H73" s="3"/>
      <c r="I73" s="4">
        <f>IF(H73="","",H73-TODAY())</f>
      </c>
      <c r="J73" s="4" t="str">
        <f>IF(OR(H73="",G73="Выполнено"),"",IF(H73&lt;TODAY(),"Да","Нет"))</f>
      </c>
      <c r="K73" s="2"/>
    </row>
    <row r="74" spans="1:11">
      <c r="A74" s="4">
        <f>IF(C74="","",ROW()-1)</f>
      </c>
      <c r="B74" s="3"/>
      <c r="C74" s="2"/>
      <c r="D74" s="2"/>
      <c r="E74" s="2"/>
      <c r="F74" s="4"/>
      <c r="G74" s="4"/>
      <c r="H74" s="3"/>
      <c r="I74" s="4">
        <f>IF(H74="","",H74-TODAY())</f>
      </c>
      <c r="J74" s="4" t="str">
        <f>IF(OR(H74="",G74="Выполнено"),"",IF(H74&lt;TODAY(),"Да","Нет"))</f>
      </c>
      <c r="K74" s="2"/>
    </row>
    <row r="75" spans="1:11">
      <c r="A75" s="4">
        <f>IF(C75="","",ROW()-1)</f>
      </c>
      <c r="B75" s="3"/>
      <c r="C75" s="2"/>
      <c r="D75" s="2"/>
      <c r="E75" s="2"/>
      <c r="F75" s="4"/>
      <c r="G75" s="4"/>
      <c r="H75" s="3"/>
      <c r="I75" s="4">
        <f>IF(H75="","",H75-TODAY())</f>
      </c>
      <c r="J75" s="4" t="str">
        <f>IF(OR(H75="",G75="Выполнено"),"",IF(H75&lt;TODAY(),"Да","Нет"))</f>
      </c>
      <c r="K75" s="2"/>
    </row>
    <row r="76" spans="1:11">
      <c r="A76" s="4">
        <f>IF(C76="","",ROW()-1)</f>
      </c>
      <c r="B76" s="3"/>
      <c r="C76" s="2"/>
      <c r="D76" s="2"/>
      <c r="E76" s="2"/>
      <c r="F76" s="4"/>
      <c r="G76" s="4"/>
      <c r="H76" s="3"/>
      <c r="I76" s="4">
        <f>IF(H76="","",H76-TODAY())</f>
      </c>
      <c r="J76" s="4" t="str">
        <f>IF(OR(H76="",G76="Выполнено"),"",IF(H76&lt;TODAY(),"Да","Нет"))</f>
      </c>
      <c r="K76" s="2"/>
    </row>
    <row r="77" spans="1:11">
      <c r="A77" s="4">
        <f>IF(C77="","",ROW()-1)</f>
      </c>
      <c r="B77" s="3"/>
      <c r="C77" s="2"/>
      <c r="D77" s="2"/>
      <c r="E77" s="2"/>
      <c r="F77" s="4"/>
      <c r="G77" s="4"/>
      <c r="H77" s="3"/>
      <c r="I77" s="4">
        <f>IF(H77="","",H77-TODAY())</f>
      </c>
      <c r="J77" s="4" t="str">
        <f>IF(OR(H77="",G77="Выполнено"),"",IF(H77&lt;TODAY(),"Да","Нет"))</f>
      </c>
      <c r="K77" s="2"/>
    </row>
    <row r="78" spans="1:11">
      <c r="A78" s="4">
        <f>IF(C78="","",ROW()-1)</f>
      </c>
      <c r="B78" s="3"/>
      <c r="C78" s="2"/>
      <c r="D78" s="2"/>
      <c r="E78" s="2"/>
      <c r="F78" s="4"/>
      <c r="G78" s="4"/>
      <c r="H78" s="3"/>
      <c r="I78" s="4">
        <f>IF(H78="","",H78-TODAY())</f>
      </c>
      <c r="J78" s="4" t="str">
        <f>IF(OR(H78="",G78="Выполнено"),"",IF(H78&lt;TODAY(),"Да","Нет"))</f>
      </c>
      <c r="K78" s="2"/>
    </row>
    <row r="79" spans="1:11">
      <c r="A79" s="4">
        <f>IF(C79="","",ROW()-1)</f>
      </c>
      <c r="B79" s="3"/>
      <c r="C79" s="2"/>
      <c r="D79" s="2"/>
      <c r="E79" s="2"/>
      <c r="F79" s="4"/>
      <c r="G79" s="4"/>
      <c r="H79" s="3"/>
      <c r="I79" s="4">
        <f>IF(H79="","",H79-TODAY())</f>
      </c>
      <c r="J79" s="4" t="str">
        <f>IF(OR(H79="",G79="Выполнено"),"",IF(H79&lt;TODAY(),"Да","Нет"))</f>
      </c>
      <c r="K79" s="2"/>
    </row>
    <row r="80" spans="1:11">
      <c r="A80" s="4">
        <f>IF(C80="","",ROW()-1)</f>
      </c>
      <c r="B80" s="3"/>
      <c r="C80" s="2"/>
      <c r="D80" s="2"/>
      <c r="E80" s="2"/>
      <c r="F80" s="4"/>
      <c r="G80" s="4"/>
      <c r="H80" s="3"/>
      <c r="I80" s="4">
        <f>IF(H80="","",H80-TODAY())</f>
      </c>
      <c r="J80" s="4" t="str">
        <f>IF(OR(H80="",G80="Выполнено"),"",IF(H80&lt;TODAY(),"Да","Нет"))</f>
      </c>
      <c r="K80" s="2"/>
    </row>
    <row r="81" spans="1:11">
      <c r="A81" s="4">
        <f>IF(C81="","",ROW()-1)</f>
      </c>
      <c r="B81" s="3"/>
      <c r="C81" s="2"/>
      <c r="D81" s="2"/>
      <c r="E81" s="2"/>
      <c r="F81" s="4"/>
      <c r="G81" s="4"/>
      <c r="H81" s="3"/>
      <c r="I81" s="4">
        <f>IF(H81="","",H81-TODAY())</f>
      </c>
      <c r="J81" s="4" t="str">
        <f>IF(OR(H81="",G81="Выполнено"),"",IF(H81&lt;TODAY(),"Да","Нет"))</f>
      </c>
      <c r="K81" s="2"/>
    </row>
    <row r="82" spans="1:11">
      <c r="A82" s="4">
        <f>IF(C82="","",ROW()-1)</f>
      </c>
      <c r="B82" s="3"/>
      <c r="C82" s="2"/>
      <c r="D82" s="2"/>
      <c r="E82" s="2"/>
      <c r="F82" s="4"/>
      <c r="G82" s="4"/>
      <c r="H82" s="3"/>
      <c r="I82" s="4">
        <f>IF(H82="","",H82-TODAY())</f>
      </c>
      <c r="J82" s="4" t="str">
        <f>IF(OR(H82="",G82="Выполнено"),"",IF(H82&lt;TODAY(),"Да","Нет"))</f>
      </c>
      <c r="K82" s="2"/>
    </row>
    <row r="83" spans="1:11">
      <c r="A83" s="4">
        <f>IF(C83="","",ROW()-1)</f>
      </c>
      <c r="B83" s="3"/>
      <c r="C83" s="2"/>
      <c r="D83" s="2"/>
      <c r="E83" s="2"/>
      <c r="F83" s="4"/>
      <c r="G83" s="4"/>
      <c r="H83" s="3"/>
      <c r="I83" s="4">
        <f>IF(H83="","",H83-TODAY())</f>
      </c>
      <c r="J83" s="4" t="str">
        <f>IF(OR(H83="",G83="Выполнено"),"",IF(H83&lt;TODAY(),"Да","Нет"))</f>
      </c>
      <c r="K83" s="2"/>
    </row>
    <row r="84" spans="1:11">
      <c r="A84" s="4">
        <f>IF(C84="","",ROW()-1)</f>
      </c>
      <c r="B84" s="3"/>
      <c r="C84" s="2"/>
      <c r="D84" s="2"/>
      <c r="E84" s="2"/>
      <c r="F84" s="4"/>
      <c r="G84" s="4"/>
      <c r="H84" s="3"/>
      <c r="I84" s="4">
        <f>IF(H84="","",H84-TODAY())</f>
      </c>
      <c r="J84" s="4" t="str">
        <f>IF(OR(H84="",G84="Выполнено"),"",IF(H84&lt;TODAY(),"Да","Нет"))</f>
      </c>
      <c r="K84" s="2"/>
    </row>
    <row r="85" spans="1:11">
      <c r="A85" s="4">
        <f>IF(C85="","",ROW()-1)</f>
      </c>
      <c r="B85" s="3"/>
      <c r="C85" s="2"/>
      <c r="D85" s="2"/>
      <c r="E85" s="2"/>
      <c r="F85" s="4"/>
      <c r="G85" s="4"/>
      <c r="H85" s="3"/>
      <c r="I85" s="4">
        <f>IF(H85="","",H85-TODAY())</f>
      </c>
      <c r="J85" s="4" t="str">
        <f>IF(OR(H85="",G85="Выполнено"),"",IF(H85&lt;TODAY(),"Да","Нет"))</f>
      </c>
      <c r="K85" s="2"/>
    </row>
    <row r="86" spans="1:11">
      <c r="A86" s="4">
        <f>IF(C86="","",ROW()-1)</f>
      </c>
      <c r="B86" s="3"/>
      <c r="C86" s="2"/>
      <c r="D86" s="2"/>
      <c r="E86" s="2"/>
      <c r="F86" s="4"/>
      <c r="G86" s="4"/>
      <c r="H86" s="3"/>
      <c r="I86" s="4">
        <f>IF(H86="","",H86-TODAY())</f>
      </c>
      <c r="J86" s="4" t="str">
        <f>IF(OR(H86="",G86="Выполнено"),"",IF(H86&lt;TODAY(),"Да","Нет"))</f>
      </c>
      <c r="K86" s="2"/>
    </row>
    <row r="87" spans="1:11">
      <c r="A87" s="4">
        <f>IF(C87="","",ROW()-1)</f>
      </c>
      <c r="B87" s="3"/>
      <c r="C87" s="2"/>
      <c r="D87" s="2"/>
      <c r="E87" s="2"/>
      <c r="F87" s="4"/>
      <c r="G87" s="4"/>
      <c r="H87" s="3"/>
      <c r="I87" s="4">
        <f>IF(H87="","",H87-TODAY())</f>
      </c>
      <c r="J87" s="4" t="str">
        <f>IF(OR(H87="",G87="Выполнено"),"",IF(H87&lt;TODAY(),"Да","Нет"))</f>
      </c>
      <c r="K87" s="2"/>
    </row>
    <row r="88" spans="1:11">
      <c r="A88" s="4">
        <f>IF(C88="","",ROW()-1)</f>
      </c>
      <c r="B88" s="3"/>
      <c r="C88" s="2"/>
      <c r="D88" s="2"/>
      <c r="E88" s="2"/>
      <c r="F88" s="4"/>
      <c r="G88" s="4"/>
      <c r="H88" s="3"/>
      <c r="I88" s="4">
        <f>IF(H88="","",H88-TODAY())</f>
      </c>
      <c r="J88" s="4" t="str">
        <f>IF(OR(H88="",G88="Выполнено"),"",IF(H88&lt;TODAY(),"Да","Нет"))</f>
      </c>
      <c r="K88" s="2"/>
    </row>
    <row r="89" spans="1:11">
      <c r="A89" s="4">
        <f>IF(C89="","",ROW()-1)</f>
      </c>
      <c r="B89" s="3"/>
      <c r="C89" s="2"/>
      <c r="D89" s="2"/>
      <c r="E89" s="2"/>
      <c r="F89" s="4"/>
      <c r="G89" s="4"/>
      <c r="H89" s="3"/>
      <c r="I89" s="4">
        <f>IF(H89="","",H89-TODAY())</f>
      </c>
      <c r="J89" s="4" t="str">
        <f>IF(OR(H89="",G89="Выполнено"),"",IF(H89&lt;TODAY(),"Да","Нет"))</f>
      </c>
      <c r="K89" s="2"/>
    </row>
    <row r="90" spans="1:11">
      <c r="A90" s="4">
        <f>IF(C90="","",ROW()-1)</f>
      </c>
      <c r="B90" s="3"/>
      <c r="C90" s="2"/>
      <c r="D90" s="2"/>
      <c r="E90" s="2"/>
      <c r="F90" s="4"/>
      <c r="G90" s="4"/>
      <c r="H90" s="3"/>
      <c r="I90" s="4">
        <f>IF(H90="","",H90-TODAY())</f>
      </c>
      <c r="J90" s="4" t="str">
        <f>IF(OR(H90="",G90="Выполнено"),"",IF(H90&lt;TODAY(),"Да","Нет"))</f>
      </c>
      <c r="K90" s="2"/>
    </row>
    <row r="91" spans="1:11">
      <c r="A91" s="4">
        <f>IF(C91="","",ROW()-1)</f>
      </c>
      <c r="B91" s="3"/>
      <c r="C91" s="2"/>
      <c r="D91" s="2"/>
      <c r="E91" s="2"/>
      <c r="F91" s="4"/>
      <c r="G91" s="4"/>
      <c r="H91" s="3"/>
      <c r="I91" s="4">
        <f>IF(H91="","",H91-TODAY())</f>
      </c>
      <c r="J91" s="4" t="str">
        <f>IF(OR(H91="",G91="Выполнено"),"",IF(H91&lt;TODAY(),"Да","Нет"))</f>
      </c>
      <c r="K91" s="2"/>
    </row>
    <row r="92" spans="1:11">
      <c r="A92" s="4">
        <f>IF(C92="","",ROW()-1)</f>
      </c>
      <c r="B92" s="3"/>
      <c r="C92" s="2"/>
      <c r="D92" s="2"/>
      <c r="E92" s="2"/>
      <c r="F92" s="4"/>
      <c r="G92" s="4"/>
      <c r="H92" s="3"/>
      <c r="I92" s="4">
        <f>IF(H92="","",H92-TODAY())</f>
      </c>
      <c r="J92" s="4" t="str">
        <f>IF(OR(H92="",G92="Выполнено"),"",IF(H92&lt;TODAY(),"Да","Нет"))</f>
      </c>
      <c r="K92" s="2"/>
    </row>
    <row r="93" spans="1:11">
      <c r="A93" s="4">
        <f>IF(C93="","",ROW()-1)</f>
      </c>
      <c r="B93" s="3"/>
      <c r="C93" s="2"/>
      <c r="D93" s="2"/>
      <c r="E93" s="2"/>
      <c r="F93" s="4"/>
      <c r="G93" s="4"/>
      <c r="H93" s="3"/>
      <c r="I93" s="4">
        <f>IF(H93="","",H93-TODAY())</f>
      </c>
      <c r="J93" s="4" t="str">
        <f>IF(OR(H93="",G93="Выполнено"),"",IF(H93&lt;TODAY(),"Да","Нет"))</f>
      </c>
      <c r="K93" s="2"/>
    </row>
    <row r="94" spans="1:11">
      <c r="A94" s="4">
        <f>IF(C94="","",ROW()-1)</f>
      </c>
      <c r="B94" s="3"/>
      <c r="C94" s="2"/>
      <c r="D94" s="2"/>
      <c r="E94" s="2"/>
      <c r="F94" s="4"/>
      <c r="G94" s="4"/>
      <c r="H94" s="3"/>
      <c r="I94" s="4">
        <f>IF(H94="","",H94-TODAY())</f>
      </c>
      <c r="J94" s="4" t="str">
        <f>IF(OR(H94="",G94="Выполнено"),"",IF(H94&lt;TODAY(),"Да","Нет"))</f>
      </c>
      <c r="K94" s="2"/>
    </row>
    <row r="95" spans="1:11">
      <c r="A95" s="4">
        <f>IF(C95="","",ROW()-1)</f>
      </c>
      <c r="B95" s="3"/>
      <c r="C95" s="2"/>
      <c r="D95" s="2"/>
      <c r="E95" s="2"/>
      <c r="F95" s="4"/>
      <c r="G95" s="4"/>
      <c r="H95" s="3"/>
      <c r="I95" s="4">
        <f>IF(H95="","",H95-TODAY())</f>
      </c>
      <c r="J95" s="4" t="str">
        <f>IF(OR(H95="",G95="Выполнено"),"",IF(H95&lt;TODAY(),"Да","Нет"))</f>
      </c>
      <c r="K95" s="2"/>
    </row>
    <row r="96" spans="1:11">
      <c r="A96" s="4">
        <f>IF(C96="","",ROW()-1)</f>
      </c>
      <c r="B96" s="3"/>
      <c r="C96" s="2"/>
      <c r="D96" s="2"/>
      <c r="E96" s="2"/>
      <c r="F96" s="4"/>
      <c r="G96" s="4"/>
      <c r="H96" s="3"/>
      <c r="I96" s="4">
        <f>IF(H96="","",H96-TODAY())</f>
      </c>
      <c r="J96" s="4" t="str">
        <f>IF(OR(H96="",G96="Выполнено"),"",IF(H96&lt;TODAY(),"Да","Нет"))</f>
      </c>
      <c r="K96" s="2"/>
    </row>
    <row r="97" spans="1:11">
      <c r="A97" s="4">
        <f>IF(C97="","",ROW()-1)</f>
      </c>
      <c r="B97" s="3"/>
      <c r="C97" s="2"/>
      <c r="D97" s="2"/>
      <c r="E97" s="2"/>
      <c r="F97" s="4"/>
      <c r="G97" s="4"/>
      <c r="H97" s="3"/>
      <c r="I97" s="4">
        <f>IF(H97="","",H97-TODAY())</f>
      </c>
      <c r="J97" s="4" t="str">
        <f>IF(OR(H97="",G97="Выполнено"),"",IF(H97&lt;TODAY(),"Да","Нет"))</f>
      </c>
      <c r="K97" s="2"/>
    </row>
    <row r="98" spans="1:11">
      <c r="A98" s="4">
        <f>IF(C98="","",ROW()-1)</f>
      </c>
      <c r="B98" s="3"/>
      <c r="C98" s="2"/>
      <c r="D98" s="2"/>
      <c r="E98" s="2"/>
      <c r="F98" s="4"/>
      <c r="G98" s="4"/>
      <c r="H98" s="3"/>
      <c r="I98" s="4">
        <f>IF(H98="","",H98-TODAY())</f>
      </c>
      <c r="J98" s="4" t="str">
        <f>IF(OR(H98="",G98="Выполнено"),"",IF(H98&lt;TODAY(),"Да","Нет"))</f>
      </c>
      <c r="K98" s="2"/>
    </row>
    <row r="99" spans="1:11">
      <c r="A99" s="4">
        <f>IF(C99="","",ROW()-1)</f>
      </c>
      <c r="B99" s="3"/>
      <c r="C99" s="2"/>
      <c r="D99" s="2"/>
      <c r="E99" s="2"/>
      <c r="F99" s="4"/>
      <c r="G99" s="4"/>
      <c r="H99" s="3"/>
      <c r="I99" s="4">
        <f>IF(H99="","",H99-TODAY())</f>
      </c>
      <c r="J99" s="4" t="str">
        <f>IF(OR(H99="",G99="Выполнено"),"",IF(H99&lt;TODAY(),"Да","Нет"))</f>
      </c>
      <c r="K99" s="2"/>
    </row>
    <row r="100" spans="1:11">
      <c r="A100" s="4">
        <f>IF(C100="","",ROW()-1)</f>
      </c>
      <c r="B100" s="3"/>
      <c r="C100" s="2"/>
      <c r="D100" s="2"/>
      <c r="E100" s="2"/>
      <c r="F100" s="4"/>
      <c r="G100" s="4"/>
      <c r="H100" s="3"/>
      <c r="I100" s="4">
        <f>IF(H100="","",H100-TODAY())</f>
      </c>
      <c r="J100" s="4" t="str">
        <f>IF(OR(H100="",G100="Выполнено"),"",IF(H100&lt;TODAY(),"Да","Нет"))</f>
      </c>
      <c r="K100" s="2"/>
    </row>
    <row r="101" spans="1:11">
      <c r="A101" s="4">
        <f>IF(C101="","",ROW()-1)</f>
      </c>
      <c r="B101" s="3"/>
      <c r="C101" s="2"/>
      <c r="D101" s="2"/>
      <c r="E101" s="2"/>
      <c r="F101" s="4"/>
      <c r="G101" s="4"/>
      <c r="H101" s="3"/>
      <c r="I101" s="4">
        <f>IF(H101="","",H101-TODAY())</f>
      </c>
      <c r="J101" s="4" t="str">
        <f>IF(OR(H101="",G101="Выполнено"),"",IF(H101&lt;TODAY(),"Да","Нет"))</f>
      </c>
      <c r="K101" s="2"/>
    </row>
    <row r="102" spans="1:11">
      <c r="A102" s="4">
        <f>IF(C102="","",ROW()-1)</f>
      </c>
      <c r="B102" s="3"/>
      <c r="C102" s="2"/>
      <c r="D102" s="2"/>
      <c r="E102" s="2"/>
      <c r="F102" s="4"/>
      <c r="G102" s="4"/>
      <c r="H102" s="3"/>
      <c r="I102" s="4">
        <f>IF(H102="","",H102-TODAY())</f>
      </c>
      <c r="J102" s="4" t="str">
        <f>IF(OR(H102="",G102="Выполнено"),"",IF(H102&lt;TODAY(),"Да","Нет"))</f>
      </c>
      <c r="K102" s="2"/>
    </row>
    <row r="103" spans="1:11">
      <c r="A103" s="4">
        <f>IF(C103="","",ROW()-1)</f>
      </c>
      <c r="B103" s="3"/>
      <c r="C103" s="2"/>
      <c r="D103" s="2"/>
      <c r="E103" s="2"/>
      <c r="F103" s="4"/>
      <c r="G103" s="4"/>
      <c r="H103" s="3"/>
      <c r="I103" s="4">
        <f>IF(H103="","",H103-TODAY())</f>
      </c>
      <c r="J103" s="4" t="str">
        <f>IF(OR(H103="",G103="Выполнено"),"",IF(H103&lt;TODAY(),"Да","Нет"))</f>
      </c>
      <c r="K103" s="2"/>
    </row>
    <row r="104" spans="1:11">
      <c r="A104" s="4">
        <f>IF(C104="","",ROW()-1)</f>
      </c>
      <c r="B104" s="3"/>
      <c r="C104" s="2"/>
      <c r="D104" s="2"/>
      <c r="E104" s="2"/>
      <c r="F104" s="4"/>
      <c r="G104" s="4"/>
      <c r="H104" s="3"/>
      <c r="I104" s="4">
        <f>IF(H104="","",H104-TODAY())</f>
      </c>
      <c r="J104" s="4" t="str">
        <f>IF(OR(H104="",G104="Выполнено"),"",IF(H104&lt;TODAY(),"Да","Нет"))</f>
      </c>
      <c r="K104" s="2"/>
    </row>
    <row r="105" spans="1:11">
      <c r="A105" s="4">
        <f>IF(C105="","",ROW()-1)</f>
      </c>
      <c r="B105" s="3"/>
      <c r="C105" s="2"/>
      <c r="D105" s="2"/>
      <c r="E105" s="2"/>
      <c r="F105" s="4"/>
      <c r="G105" s="4"/>
      <c r="H105" s="3"/>
      <c r="I105" s="4">
        <f>IF(H105="","",H105-TODAY())</f>
      </c>
      <c r="J105" s="4" t="str">
        <f>IF(OR(H105="",G105="Выполнено"),"",IF(H105&lt;TODAY(),"Да","Нет"))</f>
      </c>
      <c r="K105" s="2"/>
    </row>
    <row r="106" spans="1:11">
      <c r="A106" s="4">
        <f>IF(C106="","",ROW()-1)</f>
      </c>
      <c r="B106" s="3"/>
      <c r="C106" s="2"/>
      <c r="D106" s="2"/>
      <c r="E106" s="2"/>
      <c r="F106" s="4"/>
      <c r="G106" s="4"/>
      <c r="H106" s="3"/>
      <c r="I106" s="4">
        <f>IF(H106="","",H106-TODAY())</f>
      </c>
      <c r="J106" s="4" t="str">
        <f>IF(OR(H106="",G106="Выполнено"),"",IF(H106&lt;TODAY(),"Да","Нет"))</f>
      </c>
      <c r="K106" s="2"/>
    </row>
    <row r="107" spans="1:11">
      <c r="A107" s="4">
        <f>IF(C107="","",ROW()-1)</f>
      </c>
      <c r="B107" s="3"/>
      <c r="C107" s="2"/>
      <c r="D107" s="2"/>
      <c r="E107" s="2"/>
      <c r="F107" s="4"/>
      <c r="G107" s="4"/>
      <c r="H107" s="3"/>
      <c r="I107" s="4">
        <f>IF(H107="","",H107-TODAY())</f>
      </c>
      <c r="J107" s="4" t="str">
        <f>IF(OR(H107="",G107="Выполнено"),"",IF(H107&lt;TODAY(),"Да","Нет"))</f>
      </c>
      <c r="K107" s="2"/>
    </row>
    <row r="108" spans="1:11">
      <c r="A108" s="4">
        <f>IF(C108="","",ROW()-1)</f>
      </c>
      <c r="B108" s="3"/>
      <c r="C108" s="2"/>
      <c r="D108" s="2"/>
      <c r="E108" s="2"/>
      <c r="F108" s="4"/>
      <c r="G108" s="4"/>
      <c r="H108" s="3"/>
      <c r="I108" s="4">
        <f>IF(H108="","",H108-TODAY())</f>
      </c>
      <c r="J108" s="4" t="str">
        <f>IF(OR(H108="",G108="Выполнено"),"",IF(H108&lt;TODAY(),"Да","Нет"))</f>
      </c>
      <c r="K108" s="2"/>
    </row>
    <row r="109" spans="1:11">
      <c r="A109" s="4">
        <f>IF(C109="","",ROW()-1)</f>
      </c>
      <c r="B109" s="3"/>
      <c r="C109" s="2"/>
      <c r="D109" s="2"/>
      <c r="E109" s="2"/>
      <c r="F109" s="4"/>
      <c r="G109" s="4"/>
      <c r="H109" s="3"/>
      <c r="I109" s="4">
        <f>IF(H109="","",H109-TODAY())</f>
      </c>
      <c r="J109" s="4" t="str">
        <f>IF(OR(H109="",G109="Выполнено"),"",IF(H109&lt;TODAY(),"Да","Нет"))</f>
      </c>
      <c r="K109" s="2"/>
    </row>
    <row r="110" spans="1:11">
      <c r="A110" s="4">
        <f>IF(C110="","",ROW()-1)</f>
      </c>
      <c r="B110" s="3"/>
      <c r="C110" s="2"/>
      <c r="D110" s="2"/>
      <c r="E110" s="2"/>
      <c r="F110" s="4"/>
      <c r="G110" s="4"/>
      <c r="H110" s="3"/>
      <c r="I110" s="4">
        <f>IF(H110="","",H110-TODAY())</f>
      </c>
      <c r="J110" s="4" t="str">
        <f>IF(OR(H110="",G110="Выполнено"),"",IF(H110&lt;TODAY(),"Да","Нет"))</f>
      </c>
      <c r="K110" s="2"/>
    </row>
    <row r="111" spans="1:11">
      <c r="A111" s="4">
        <f>IF(C111="","",ROW()-1)</f>
      </c>
      <c r="B111" s="3"/>
      <c r="C111" s="2"/>
      <c r="D111" s="2"/>
      <c r="E111" s="2"/>
      <c r="F111" s="4"/>
      <c r="G111" s="4"/>
      <c r="H111" s="3"/>
      <c r="I111" s="4">
        <f>IF(H111="","",H111-TODAY())</f>
      </c>
      <c r="J111" s="4" t="str">
        <f>IF(OR(H111="",G111="Выполнено"),"",IF(H111&lt;TODAY(),"Да","Нет"))</f>
      </c>
      <c r="K111" s="2"/>
    </row>
    <row r="112" spans="1:11">
      <c r="A112" s="4">
        <f>IF(C112="","",ROW()-1)</f>
      </c>
      <c r="B112" s="3"/>
      <c r="C112" s="2"/>
      <c r="D112" s="2"/>
      <c r="E112" s="2"/>
      <c r="F112" s="4"/>
      <c r="G112" s="4"/>
      <c r="H112" s="3"/>
      <c r="I112" s="4">
        <f>IF(H112="","",H112-TODAY())</f>
      </c>
      <c r="J112" s="4" t="str">
        <f>IF(OR(H112="",G112="Выполнено"),"",IF(H112&lt;TODAY(),"Да","Нет"))</f>
      </c>
      <c r="K112" s="2"/>
    </row>
    <row r="113" spans="1:11">
      <c r="A113" s="4">
        <f>IF(C113="","",ROW()-1)</f>
      </c>
      <c r="B113" s="3"/>
      <c r="C113" s="2"/>
      <c r="D113" s="2"/>
      <c r="E113" s="2"/>
      <c r="F113" s="4"/>
      <c r="G113" s="4"/>
      <c r="H113" s="3"/>
      <c r="I113" s="4">
        <f>IF(H113="","",H113-TODAY())</f>
      </c>
      <c r="J113" s="4" t="str">
        <f>IF(OR(H113="",G113="Выполнено"),"",IF(H113&lt;TODAY(),"Да","Нет"))</f>
      </c>
      <c r="K113" s="2"/>
    </row>
    <row r="114" spans="1:11">
      <c r="A114" s="4">
        <f>IF(C114="","",ROW()-1)</f>
      </c>
      <c r="B114" s="3"/>
      <c r="C114" s="2"/>
      <c r="D114" s="2"/>
      <c r="E114" s="2"/>
      <c r="F114" s="4"/>
      <c r="G114" s="4"/>
      <c r="H114" s="3"/>
      <c r="I114" s="4">
        <f>IF(H114="","",H114-TODAY())</f>
      </c>
      <c r="J114" s="4" t="str">
        <f>IF(OR(H114="",G114="Выполнено"),"",IF(H114&lt;TODAY(),"Да","Нет"))</f>
      </c>
      <c r="K114" s="2"/>
    </row>
    <row r="115" spans="1:11">
      <c r="A115" s="4">
        <f>IF(C115="","",ROW()-1)</f>
      </c>
      <c r="B115" s="3"/>
      <c r="C115" s="2"/>
      <c r="D115" s="2"/>
      <c r="E115" s="2"/>
      <c r="F115" s="4"/>
      <c r="G115" s="4"/>
      <c r="H115" s="3"/>
      <c r="I115" s="4">
        <f>IF(H115="","",H115-TODAY())</f>
      </c>
      <c r="J115" s="4" t="str">
        <f>IF(OR(H115="",G115="Выполнено"),"",IF(H115&lt;TODAY(),"Да","Нет"))</f>
      </c>
      <c r="K115" s="2"/>
    </row>
    <row r="116" spans="1:11">
      <c r="A116" s="4">
        <f>IF(C116="","",ROW()-1)</f>
      </c>
      <c r="B116" s="3"/>
      <c r="C116" s="2"/>
      <c r="D116" s="2"/>
      <c r="E116" s="2"/>
      <c r="F116" s="4"/>
      <c r="G116" s="4"/>
      <c r="H116" s="3"/>
      <c r="I116" s="4">
        <f>IF(H116="","",H116-TODAY())</f>
      </c>
      <c r="J116" s="4" t="str">
        <f>IF(OR(H116="",G116="Выполнено"),"",IF(H116&lt;TODAY(),"Да","Нет"))</f>
      </c>
      <c r="K116" s="2"/>
    </row>
    <row r="117" spans="1:11">
      <c r="A117" s="4">
        <f>IF(C117="","",ROW()-1)</f>
      </c>
      <c r="B117" s="3"/>
      <c r="C117" s="2"/>
      <c r="D117" s="2"/>
      <c r="E117" s="2"/>
      <c r="F117" s="4"/>
      <c r="G117" s="4"/>
      <c r="H117" s="3"/>
      <c r="I117" s="4">
        <f>IF(H117="","",H117-TODAY())</f>
      </c>
      <c r="J117" s="4" t="str">
        <f>IF(OR(H117="",G117="Выполнено"),"",IF(H117&lt;TODAY(),"Да","Нет"))</f>
      </c>
      <c r="K117" s="2"/>
    </row>
    <row r="118" spans="1:11">
      <c r="A118" s="4">
        <f>IF(C118="","",ROW()-1)</f>
      </c>
      <c r="B118" s="3"/>
      <c r="C118" s="2"/>
      <c r="D118" s="2"/>
      <c r="E118" s="2"/>
      <c r="F118" s="4"/>
      <c r="G118" s="4"/>
      <c r="H118" s="3"/>
      <c r="I118" s="4">
        <f>IF(H118="","",H118-TODAY())</f>
      </c>
      <c r="J118" s="4" t="str">
        <f>IF(OR(H118="",G118="Выполнено"),"",IF(H118&lt;TODAY(),"Да","Нет"))</f>
      </c>
      <c r="K118" s="2"/>
    </row>
    <row r="119" spans="1:11">
      <c r="A119" s="4">
        <f>IF(C119="","",ROW()-1)</f>
      </c>
      <c r="B119" s="3"/>
      <c r="C119" s="2"/>
      <c r="D119" s="2"/>
      <c r="E119" s="2"/>
      <c r="F119" s="4"/>
      <c r="G119" s="4"/>
      <c r="H119" s="3"/>
      <c r="I119" s="4">
        <f>IF(H119="","",H119-TODAY())</f>
      </c>
      <c r="J119" s="4" t="str">
        <f>IF(OR(H119="",G119="Выполнено"),"",IF(H119&lt;TODAY(),"Да","Нет"))</f>
      </c>
      <c r="K119" s="2"/>
    </row>
    <row r="120" spans="1:11">
      <c r="A120" s="4">
        <f>IF(C120="","",ROW()-1)</f>
      </c>
      <c r="B120" s="3"/>
      <c r="C120" s="2"/>
      <c r="D120" s="2"/>
      <c r="E120" s="2"/>
      <c r="F120" s="4"/>
      <c r="G120" s="4"/>
      <c r="H120" s="3"/>
      <c r="I120" s="4">
        <f>IF(H120="","",H120-TODAY())</f>
      </c>
      <c r="J120" s="4" t="str">
        <f>IF(OR(H120="",G120="Выполнено"),"",IF(H120&lt;TODAY(),"Да","Нет"))</f>
      </c>
      <c r="K120" s="2"/>
    </row>
    <row r="121" spans="1:11">
      <c r="A121" s="4">
        <f>IF(C121="","",ROW()-1)</f>
      </c>
      <c r="B121" s="3"/>
      <c r="C121" s="2"/>
      <c r="D121" s="2"/>
      <c r="E121" s="2"/>
      <c r="F121" s="4"/>
      <c r="G121" s="4"/>
      <c r="H121" s="3"/>
      <c r="I121" s="4">
        <f>IF(H121="","",H121-TODAY())</f>
      </c>
      <c r="J121" s="4" t="str">
        <f>IF(OR(H121="",G121="Выполнено"),"",IF(H121&lt;TODAY(),"Да","Нет"))</f>
      </c>
      <c r="K121" s="2"/>
    </row>
    <row r="122" spans="1:11">
      <c r="A122" s="4">
        <f>IF(C122="","",ROW()-1)</f>
      </c>
      <c r="B122" s="3"/>
      <c r="C122" s="2"/>
      <c r="D122" s="2"/>
      <c r="E122" s="2"/>
      <c r="F122" s="4"/>
      <c r="G122" s="4"/>
      <c r="H122" s="3"/>
      <c r="I122" s="4">
        <f>IF(H122="","",H122-TODAY())</f>
      </c>
      <c r="J122" s="4" t="str">
        <f>IF(OR(H122="",G122="Выполнено"),"",IF(H122&lt;TODAY(),"Да","Нет"))</f>
      </c>
      <c r="K122" s="2"/>
    </row>
    <row r="123" spans="1:11">
      <c r="A123" s="4">
        <f>IF(C123="","",ROW()-1)</f>
      </c>
      <c r="B123" s="3"/>
      <c r="C123" s="2"/>
      <c r="D123" s="2"/>
      <c r="E123" s="2"/>
      <c r="F123" s="4"/>
      <c r="G123" s="4"/>
      <c r="H123" s="3"/>
      <c r="I123" s="4">
        <f>IF(H123="","",H123-TODAY())</f>
      </c>
      <c r="J123" s="4" t="str">
        <f>IF(OR(H123="",G123="Выполнено"),"",IF(H123&lt;TODAY(),"Да","Нет"))</f>
      </c>
      <c r="K123" s="2"/>
    </row>
    <row r="124" spans="1:11">
      <c r="A124" s="4">
        <f>IF(C124="","",ROW()-1)</f>
      </c>
      <c r="B124" s="3"/>
      <c r="C124" s="2"/>
      <c r="D124" s="2"/>
      <c r="E124" s="2"/>
      <c r="F124" s="4"/>
      <c r="G124" s="4"/>
      <c r="H124" s="3"/>
      <c r="I124" s="4">
        <f>IF(H124="","",H124-TODAY())</f>
      </c>
      <c r="J124" s="4" t="str">
        <f>IF(OR(H124="",G124="Выполнено"),"",IF(H124&lt;TODAY(),"Да","Нет"))</f>
      </c>
      <c r="K124" s="2"/>
    </row>
    <row r="125" spans="1:11">
      <c r="A125" s="4">
        <f>IF(C125="","",ROW()-1)</f>
      </c>
      <c r="B125" s="3"/>
      <c r="C125" s="2"/>
      <c r="D125" s="2"/>
      <c r="E125" s="2"/>
      <c r="F125" s="4"/>
      <c r="G125" s="4"/>
      <c r="H125" s="3"/>
      <c r="I125" s="4">
        <f>IF(H125="","",H125-TODAY())</f>
      </c>
      <c r="J125" s="4" t="str">
        <f>IF(OR(H125="",G125="Выполнено"),"",IF(H125&lt;TODAY(),"Да","Нет"))</f>
      </c>
      <c r="K125" s="2"/>
    </row>
    <row r="126" spans="1:11">
      <c r="A126" s="4">
        <f>IF(C126="","",ROW()-1)</f>
      </c>
      <c r="B126" s="3"/>
      <c r="C126" s="2"/>
      <c r="D126" s="2"/>
      <c r="E126" s="2"/>
      <c r="F126" s="4"/>
      <c r="G126" s="4"/>
      <c r="H126" s="3"/>
      <c r="I126" s="4">
        <f>IF(H126="","",H126-TODAY())</f>
      </c>
      <c r="J126" s="4" t="str">
        <f>IF(OR(H126="",G126="Выполнено"),"",IF(H126&lt;TODAY(),"Да","Нет"))</f>
      </c>
      <c r="K126" s="2"/>
    </row>
    <row r="127" spans="1:11">
      <c r="A127" s="4">
        <f>IF(C127="","",ROW()-1)</f>
      </c>
      <c r="B127" s="3"/>
      <c r="C127" s="2"/>
      <c r="D127" s="2"/>
      <c r="E127" s="2"/>
      <c r="F127" s="4"/>
      <c r="G127" s="4"/>
      <c r="H127" s="3"/>
      <c r="I127" s="4">
        <f>IF(H127="","",H127-TODAY())</f>
      </c>
      <c r="J127" s="4" t="str">
        <f>IF(OR(H127="",G127="Выполнено"),"",IF(H127&lt;TODAY(),"Да","Нет"))</f>
      </c>
      <c r="K127" s="2"/>
    </row>
    <row r="128" spans="1:11">
      <c r="A128" s="4">
        <f>IF(C128="","",ROW()-1)</f>
      </c>
      <c r="B128" s="3"/>
      <c r="C128" s="2"/>
      <c r="D128" s="2"/>
      <c r="E128" s="2"/>
      <c r="F128" s="4"/>
      <c r="G128" s="4"/>
      <c r="H128" s="3"/>
      <c r="I128" s="4">
        <f>IF(H128="","",H128-TODAY())</f>
      </c>
      <c r="J128" s="4" t="str">
        <f>IF(OR(H128="",G128="Выполнено"),"",IF(H128&lt;TODAY(),"Да","Нет"))</f>
      </c>
      <c r="K128" s="2"/>
    </row>
    <row r="129" spans="1:11">
      <c r="A129" s="4">
        <f>IF(C129="","",ROW()-1)</f>
      </c>
      <c r="B129" s="3"/>
      <c r="C129" s="2"/>
      <c r="D129" s="2"/>
      <c r="E129" s="2"/>
      <c r="F129" s="4"/>
      <c r="G129" s="4"/>
      <c r="H129" s="3"/>
      <c r="I129" s="4">
        <f>IF(H129="","",H129-TODAY())</f>
      </c>
      <c r="J129" s="4" t="str">
        <f>IF(OR(H129="",G129="Выполнено"),"",IF(H129&lt;TODAY(),"Да","Нет"))</f>
      </c>
      <c r="K129" s="2"/>
    </row>
    <row r="130" spans="1:11">
      <c r="A130" s="4">
        <f>IF(C130="","",ROW()-1)</f>
      </c>
      <c r="B130" s="3"/>
      <c r="C130" s="2"/>
      <c r="D130" s="2"/>
      <c r="E130" s="2"/>
      <c r="F130" s="4"/>
      <c r="G130" s="4"/>
      <c r="H130" s="3"/>
      <c r="I130" s="4">
        <f>IF(H130="","",H130-TODAY())</f>
      </c>
      <c r="J130" s="4" t="str">
        <f>IF(OR(H130="",G130="Выполнено"),"",IF(H130&lt;TODAY(),"Да","Нет"))</f>
      </c>
      <c r="K130" s="2"/>
    </row>
    <row r="131" spans="1:11">
      <c r="A131" s="4">
        <f>IF(C131="","",ROW()-1)</f>
      </c>
      <c r="B131" s="3"/>
      <c r="C131" s="2"/>
      <c r="D131" s="2"/>
      <c r="E131" s="2"/>
      <c r="F131" s="4"/>
      <c r="G131" s="4"/>
      <c r="H131" s="3"/>
      <c r="I131" s="4">
        <f>IF(H131="","",H131-TODAY())</f>
      </c>
      <c r="J131" s="4" t="str">
        <f>IF(OR(H131="",G131="Выполнено"),"",IF(H131&lt;TODAY(),"Да","Нет"))</f>
      </c>
      <c r="K131" s="2"/>
    </row>
    <row r="132" spans="1:11">
      <c r="A132" s="4">
        <f>IF(C132="","",ROW()-1)</f>
      </c>
      <c r="B132" s="3"/>
      <c r="C132" s="2"/>
      <c r="D132" s="2"/>
      <c r="E132" s="2"/>
      <c r="F132" s="4"/>
      <c r="G132" s="4"/>
      <c r="H132" s="3"/>
      <c r="I132" s="4">
        <f>IF(H132="","",H132-TODAY())</f>
      </c>
      <c r="J132" s="4" t="str">
        <f>IF(OR(H132="",G132="Выполнено"),"",IF(H132&lt;TODAY(),"Да","Нет"))</f>
      </c>
      <c r="K132" s="2"/>
    </row>
    <row r="133" spans="1:11">
      <c r="A133" s="4">
        <f>IF(C133="","",ROW()-1)</f>
      </c>
      <c r="B133" s="3"/>
      <c r="C133" s="2"/>
      <c r="D133" s="2"/>
      <c r="E133" s="2"/>
      <c r="F133" s="4"/>
      <c r="G133" s="4"/>
      <c r="H133" s="3"/>
      <c r="I133" s="4">
        <f>IF(H133="","",H133-TODAY())</f>
      </c>
      <c r="J133" s="4" t="str">
        <f>IF(OR(H133="",G133="Выполнено"),"",IF(H133&lt;TODAY(),"Да","Нет"))</f>
      </c>
      <c r="K133" s="2"/>
    </row>
    <row r="134" spans="1:11">
      <c r="A134" s="4">
        <f>IF(C134="","",ROW()-1)</f>
      </c>
      <c r="B134" s="3"/>
      <c r="C134" s="2"/>
      <c r="D134" s="2"/>
      <c r="E134" s="2"/>
      <c r="F134" s="4"/>
      <c r="G134" s="4"/>
      <c r="H134" s="3"/>
      <c r="I134" s="4">
        <f>IF(H134="","",H134-TODAY())</f>
      </c>
      <c r="J134" s="4" t="str">
        <f>IF(OR(H134="",G134="Выполнено"),"",IF(H134&lt;TODAY(),"Да","Нет"))</f>
      </c>
      <c r="K134" s="2"/>
    </row>
    <row r="135" spans="1:11">
      <c r="A135" s="4">
        <f>IF(C135="","",ROW()-1)</f>
      </c>
      <c r="B135" s="3"/>
      <c r="C135" s="2"/>
      <c r="D135" s="2"/>
      <c r="E135" s="2"/>
      <c r="F135" s="4"/>
      <c r="G135" s="4"/>
      <c r="H135" s="3"/>
      <c r="I135" s="4">
        <f>IF(H135="","",H135-TODAY())</f>
      </c>
      <c r="J135" s="4" t="str">
        <f>IF(OR(H135="",G135="Выполнено"),"",IF(H135&lt;TODAY(),"Да","Нет"))</f>
      </c>
      <c r="K135" s="2"/>
    </row>
    <row r="136" spans="1:11">
      <c r="A136" s="4">
        <f>IF(C136="","",ROW()-1)</f>
      </c>
      <c r="B136" s="3"/>
      <c r="C136" s="2"/>
      <c r="D136" s="2"/>
      <c r="E136" s="2"/>
      <c r="F136" s="4"/>
      <c r="G136" s="4"/>
      <c r="H136" s="3"/>
      <c r="I136" s="4">
        <f>IF(H136="","",H136-TODAY())</f>
      </c>
      <c r="J136" s="4" t="str">
        <f>IF(OR(H136="",G136="Выполнено"),"",IF(H136&lt;TODAY(),"Да","Нет"))</f>
      </c>
      <c r="K136" s="2"/>
    </row>
    <row r="137" spans="1:11">
      <c r="A137" s="4">
        <f>IF(C137="","",ROW()-1)</f>
      </c>
      <c r="B137" s="3"/>
      <c r="C137" s="2"/>
      <c r="D137" s="2"/>
      <c r="E137" s="2"/>
      <c r="F137" s="4"/>
      <c r="G137" s="4"/>
      <c r="H137" s="3"/>
      <c r="I137" s="4">
        <f>IF(H137="","",H137-TODAY())</f>
      </c>
      <c r="J137" s="4" t="str">
        <f>IF(OR(H137="",G137="Выполнено"),"",IF(H137&lt;TODAY(),"Да","Нет"))</f>
      </c>
      <c r="K137" s="2"/>
    </row>
    <row r="138" spans="1:11">
      <c r="A138" s="4">
        <f>IF(C138="","",ROW()-1)</f>
      </c>
      <c r="B138" s="3"/>
      <c r="C138" s="2"/>
      <c r="D138" s="2"/>
      <c r="E138" s="2"/>
      <c r="F138" s="4"/>
      <c r="G138" s="4"/>
      <c r="H138" s="3"/>
      <c r="I138" s="4">
        <f>IF(H138="","",H138-TODAY())</f>
      </c>
      <c r="J138" s="4" t="str">
        <f>IF(OR(H138="",G138="Выполнено"),"",IF(H138&lt;TODAY(),"Да","Нет"))</f>
      </c>
      <c r="K138" s="2"/>
    </row>
    <row r="139" spans="1:11">
      <c r="A139" s="4">
        <f>IF(C139="","",ROW()-1)</f>
      </c>
      <c r="B139" s="3"/>
      <c r="C139" s="2"/>
      <c r="D139" s="2"/>
      <c r="E139" s="2"/>
      <c r="F139" s="4"/>
      <c r="G139" s="4"/>
      <c r="H139" s="3"/>
      <c r="I139" s="4">
        <f>IF(H139="","",H139-TODAY())</f>
      </c>
      <c r="J139" s="4" t="str">
        <f>IF(OR(H139="",G139="Выполнено"),"",IF(H139&lt;TODAY(),"Да","Нет"))</f>
      </c>
      <c r="K139" s="2"/>
    </row>
    <row r="140" spans="1:11">
      <c r="A140" s="4">
        <f>IF(C140="","",ROW()-1)</f>
      </c>
      <c r="B140" s="3"/>
      <c r="C140" s="2"/>
      <c r="D140" s="2"/>
      <c r="E140" s="2"/>
      <c r="F140" s="4"/>
      <c r="G140" s="4"/>
      <c r="H140" s="3"/>
      <c r="I140" s="4">
        <f>IF(H140="","",H140-TODAY())</f>
      </c>
      <c r="J140" s="4" t="str">
        <f>IF(OR(H140="",G140="Выполнено"),"",IF(H140&lt;TODAY(),"Да","Нет"))</f>
      </c>
      <c r="K140" s="2"/>
    </row>
    <row r="141" spans="1:11">
      <c r="A141" s="4">
        <f>IF(C141="","",ROW()-1)</f>
      </c>
      <c r="B141" s="3"/>
      <c r="C141" s="2"/>
      <c r="D141" s="2"/>
      <c r="E141" s="2"/>
      <c r="F141" s="4"/>
      <c r="G141" s="4"/>
      <c r="H141" s="3"/>
      <c r="I141" s="4">
        <f>IF(H141="","",H141-TODAY())</f>
      </c>
      <c r="J141" s="4" t="str">
        <f>IF(OR(H141="",G141="Выполнено"),"",IF(H141&lt;TODAY(),"Да","Нет"))</f>
      </c>
      <c r="K141" s="2"/>
    </row>
    <row r="142" spans="1:11">
      <c r="A142" s="4">
        <f>IF(C142="","",ROW()-1)</f>
      </c>
      <c r="B142" s="3"/>
      <c r="C142" s="2"/>
      <c r="D142" s="2"/>
      <c r="E142" s="2"/>
      <c r="F142" s="4"/>
      <c r="G142" s="4"/>
      <c r="H142" s="3"/>
      <c r="I142" s="4">
        <f>IF(H142="","",H142-TODAY())</f>
      </c>
      <c r="J142" s="4" t="str">
        <f>IF(OR(H142="",G142="Выполнено"),"",IF(H142&lt;TODAY(),"Да","Нет"))</f>
      </c>
      <c r="K142" s="2"/>
    </row>
    <row r="143" spans="1:11">
      <c r="A143" s="4">
        <f>IF(C143="","",ROW()-1)</f>
      </c>
      <c r="B143" s="3"/>
      <c r="C143" s="2"/>
      <c r="D143" s="2"/>
      <c r="E143" s="2"/>
      <c r="F143" s="4"/>
      <c r="G143" s="4"/>
      <c r="H143" s="3"/>
      <c r="I143" s="4">
        <f>IF(H143="","",H143-TODAY())</f>
      </c>
      <c r="J143" s="4" t="str">
        <f>IF(OR(H143="",G143="Выполнено"),"",IF(H143&lt;TODAY(),"Да","Нет"))</f>
      </c>
      <c r="K143" s="2"/>
    </row>
    <row r="144" spans="1:11">
      <c r="A144" s="4">
        <f>IF(C144="","",ROW()-1)</f>
      </c>
      <c r="B144" s="3"/>
      <c r="C144" s="2"/>
      <c r="D144" s="2"/>
      <c r="E144" s="2"/>
      <c r="F144" s="4"/>
      <c r="G144" s="4"/>
      <c r="H144" s="3"/>
      <c r="I144" s="4">
        <f>IF(H144="","",H144-TODAY())</f>
      </c>
      <c r="J144" s="4" t="str">
        <f>IF(OR(H144="",G144="Выполнено"),"",IF(H144&lt;TODAY(),"Да","Нет"))</f>
      </c>
      <c r="K144" s="2"/>
    </row>
    <row r="145" spans="1:11">
      <c r="A145" s="4">
        <f>IF(C145="","",ROW()-1)</f>
      </c>
      <c r="B145" s="3"/>
      <c r="C145" s="2"/>
      <c r="D145" s="2"/>
      <c r="E145" s="2"/>
      <c r="F145" s="4"/>
      <c r="G145" s="4"/>
      <c r="H145" s="3"/>
      <c r="I145" s="4">
        <f>IF(H145="","",H145-TODAY())</f>
      </c>
      <c r="J145" s="4" t="str">
        <f>IF(OR(H145="",G145="Выполнено"),"",IF(H145&lt;TODAY(),"Да","Нет"))</f>
      </c>
      <c r="K145" s="2"/>
    </row>
    <row r="146" spans="1:11">
      <c r="A146" s="4">
        <f>IF(C146="","",ROW()-1)</f>
      </c>
      <c r="B146" s="3"/>
      <c r="C146" s="2"/>
      <c r="D146" s="2"/>
      <c r="E146" s="2"/>
      <c r="F146" s="4"/>
      <c r="G146" s="4"/>
      <c r="H146" s="3"/>
      <c r="I146" s="4">
        <f>IF(H146="","",H146-TODAY())</f>
      </c>
      <c r="J146" s="4" t="str">
        <f>IF(OR(H146="",G146="Выполнено"),"",IF(H146&lt;TODAY(),"Да","Нет"))</f>
      </c>
      <c r="K146" s="2"/>
    </row>
    <row r="147" spans="1:11">
      <c r="A147" s="4">
        <f>IF(C147="","",ROW()-1)</f>
      </c>
      <c r="B147" s="3"/>
      <c r="C147" s="2"/>
      <c r="D147" s="2"/>
      <c r="E147" s="2"/>
      <c r="F147" s="4"/>
      <c r="G147" s="4"/>
      <c r="H147" s="3"/>
      <c r="I147" s="4">
        <f>IF(H147="","",H147-TODAY())</f>
      </c>
      <c r="J147" s="4" t="str">
        <f>IF(OR(H147="",G147="Выполнено"),"",IF(H147&lt;TODAY(),"Да","Нет"))</f>
      </c>
      <c r="K147" s="2"/>
    </row>
    <row r="148" spans="1:11">
      <c r="A148" s="4">
        <f>IF(C148="","",ROW()-1)</f>
      </c>
      <c r="B148" s="3"/>
      <c r="C148" s="2"/>
      <c r="D148" s="2"/>
      <c r="E148" s="2"/>
      <c r="F148" s="4"/>
      <c r="G148" s="4"/>
      <c r="H148" s="3"/>
      <c r="I148" s="4">
        <f>IF(H148="","",H148-TODAY())</f>
      </c>
      <c r="J148" s="4" t="str">
        <f>IF(OR(H148="",G148="Выполнено"),"",IF(H148&lt;TODAY(),"Да","Нет"))</f>
      </c>
      <c r="K148" s="2"/>
    </row>
    <row r="149" spans="1:11">
      <c r="A149" s="4">
        <f>IF(C149="","",ROW()-1)</f>
      </c>
      <c r="B149" s="3"/>
      <c r="C149" s="2"/>
      <c r="D149" s="2"/>
      <c r="E149" s="2"/>
      <c r="F149" s="4"/>
      <c r="G149" s="4"/>
      <c r="H149" s="3"/>
      <c r="I149" s="4">
        <f>IF(H149="","",H149-TODAY())</f>
      </c>
      <c r="J149" s="4" t="str">
        <f>IF(OR(H149="",G149="Выполнено"),"",IF(H149&lt;TODAY(),"Да","Нет"))</f>
      </c>
      <c r="K149" s="2"/>
    </row>
    <row r="150" spans="1:11">
      <c r="A150" s="4">
        <f>IF(C150="","",ROW()-1)</f>
      </c>
      <c r="B150" s="3"/>
      <c r="C150" s="2"/>
      <c r="D150" s="2"/>
      <c r="E150" s="2"/>
      <c r="F150" s="4"/>
      <c r="G150" s="4"/>
      <c r="H150" s="3"/>
      <c r="I150" s="4">
        <f>IF(H150="","",H150-TODAY())</f>
      </c>
      <c r="J150" s="4" t="str">
        <f>IF(OR(H150="",G150="Выполнено"),"",IF(H150&lt;TODAY(),"Да","Нет"))</f>
      </c>
      <c r="K150" s="2"/>
    </row>
    <row r="151" spans="1:11">
      <c r="A151" s="4">
        <f>IF(C151="","",ROW()-1)</f>
      </c>
      <c r="B151" s="3"/>
      <c r="C151" s="2"/>
      <c r="D151" s="2"/>
      <c r="E151" s="2"/>
      <c r="F151" s="4"/>
      <c r="G151" s="4"/>
      <c r="H151" s="3"/>
      <c r="I151" s="4">
        <f>IF(H151="","",H151-TODAY())</f>
      </c>
      <c r="J151" s="4" t="str">
        <f>IF(OR(H151="",G151="Выполнено"),"",IF(H151&lt;TODAY(),"Да","Нет"))</f>
      </c>
      <c r="K151" s="2"/>
    </row>
    <row r="152" spans="1:11">
      <c r="A152" s="4">
        <f>IF(C152="","",ROW()-1)</f>
      </c>
      <c r="B152" s="3"/>
      <c r="C152" s="2"/>
      <c r="D152" s="2"/>
      <c r="E152" s="2"/>
      <c r="F152" s="4"/>
      <c r="G152" s="4"/>
      <c r="H152" s="3"/>
      <c r="I152" s="4">
        <f>IF(H152="","",H152-TODAY())</f>
      </c>
      <c r="J152" s="4" t="str">
        <f>IF(OR(H152="",G152="Выполнено"),"",IF(H152&lt;TODAY(),"Да","Нет"))</f>
      </c>
      <c r="K152" s="2"/>
    </row>
    <row r="153" spans="1:11">
      <c r="A153" s="4">
        <f>IF(C153="","",ROW()-1)</f>
      </c>
      <c r="B153" s="3"/>
      <c r="C153" s="2"/>
      <c r="D153" s="2"/>
      <c r="E153" s="2"/>
      <c r="F153" s="4"/>
      <c r="G153" s="4"/>
      <c r="H153" s="3"/>
      <c r="I153" s="4">
        <f>IF(H153="","",H153-TODAY())</f>
      </c>
      <c r="J153" s="4" t="str">
        <f>IF(OR(H153="",G153="Выполнено"),"",IF(H153&lt;TODAY(),"Да","Нет"))</f>
      </c>
      <c r="K153" s="2"/>
    </row>
    <row r="154" spans="1:11">
      <c r="A154" s="4">
        <f>IF(C154="","",ROW()-1)</f>
      </c>
      <c r="B154" s="3"/>
      <c r="C154" s="2"/>
      <c r="D154" s="2"/>
      <c r="E154" s="2"/>
      <c r="F154" s="4"/>
      <c r="G154" s="4"/>
      <c r="H154" s="3"/>
      <c r="I154" s="4">
        <f>IF(H154="","",H154-TODAY())</f>
      </c>
      <c r="J154" s="4" t="str">
        <f>IF(OR(H154="",G154="Выполнено"),"",IF(H154&lt;TODAY(),"Да","Нет"))</f>
      </c>
      <c r="K154" s="2"/>
    </row>
    <row r="155" spans="1:11">
      <c r="A155" s="4">
        <f>IF(C155="","",ROW()-1)</f>
      </c>
      <c r="B155" s="3"/>
      <c r="C155" s="2"/>
      <c r="D155" s="2"/>
      <c r="E155" s="2"/>
      <c r="F155" s="4"/>
      <c r="G155" s="4"/>
      <c r="H155" s="3"/>
      <c r="I155" s="4">
        <f>IF(H155="","",H155-TODAY())</f>
      </c>
      <c r="J155" s="4" t="str">
        <f>IF(OR(H155="",G155="Выполнено"),"",IF(H155&lt;TODAY(),"Да","Нет"))</f>
      </c>
      <c r="K155" s="2"/>
    </row>
    <row r="156" spans="1:11">
      <c r="A156" s="4">
        <f>IF(C156="","",ROW()-1)</f>
      </c>
      <c r="B156" s="3"/>
      <c r="C156" s="2"/>
      <c r="D156" s="2"/>
      <c r="E156" s="2"/>
      <c r="F156" s="4"/>
      <c r="G156" s="4"/>
      <c r="H156" s="3"/>
      <c r="I156" s="4">
        <f>IF(H156="","",H156-TODAY())</f>
      </c>
      <c r="J156" s="4" t="str">
        <f>IF(OR(H156="",G156="Выполнено"),"",IF(H156&lt;TODAY(),"Да","Нет"))</f>
      </c>
      <c r="K156" s="2"/>
    </row>
    <row r="157" spans="1:11">
      <c r="A157" s="4">
        <f>IF(C157="","",ROW()-1)</f>
      </c>
      <c r="B157" s="3"/>
      <c r="C157" s="2"/>
      <c r="D157" s="2"/>
      <c r="E157" s="2"/>
      <c r="F157" s="4"/>
      <c r="G157" s="4"/>
      <c r="H157" s="3"/>
      <c r="I157" s="4">
        <f>IF(H157="","",H157-TODAY())</f>
      </c>
      <c r="J157" s="4" t="str">
        <f>IF(OR(H157="",G157="Выполнено"),"",IF(H157&lt;TODAY(),"Да","Нет"))</f>
      </c>
      <c r="K157" s="2"/>
    </row>
    <row r="158" spans="1:11">
      <c r="A158" s="4">
        <f>IF(C158="","",ROW()-1)</f>
      </c>
      <c r="B158" s="3"/>
      <c r="C158" s="2"/>
      <c r="D158" s="2"/>
      <c r="E158" s="2"/>
      <c r="F158" s="4"/>
      <c r="G158" s="4"/>
      <c r="H158" s="3"/>
      <c r="I158" s="4">
        <f>IF(H158="","",H158-TODAY())</f>
      </c>
      <c r="J158" s="4" t="str">
        <f>IF(OR(H158="",G158="Выполнено"),"",IF(H158&lt;TODAY(),"Да","Нет"))</f>
      </c>
      <c r="K158" s="2"/>
    </row>
    <row r="159" spans="1:11">
      <c r="A159" s="4">
        <f>IF(C159="","",ROW()-1)</f>
      </c>
      <c r="B159" s="3"/>
      <c r="C159" s="2"/>
      <c r="D159" s="2"/>
      <c r="E159" s="2"/>
      <c r="F159" s="4"/>
      <c r="G159" s="4"/>
      <c r="H159" s="3"/>
      <c r="I159" s="4">
        <f>IF(H159="","",H159-TODAY())</f>
      </c>
      <c r="J159" s="4" t="str">
        <f>IF(OR(H159="",G159="Выполнено"),"",IF(H159&lt;TODAY(),"Да","Нет"))</f>
      </c>
      <c r="K159" s="2"/>
    </row>
    <row r="160" spans="1:11">
      <c r="A160" s="4">
        <f>IF(C160="","",ROW()-1)</f>
      </c>
      <c r="B160" s="3"/>
      <c r="C160" s="2"/>
      <c r="D160" s="2"/>
      <c r="E160" s="2"/>
      <c r="F160" s="4"/>
      <c r="G160" s="4"/>
      <c r="H160" s="3"/>
      <c r="I160" s="4">
        <f>IF(H160="","",H160-TODAY())</f>
      </c>
      <c r="J160" s="4" t="str">
        <f>IF(OR(H160="",G160="Выполнено"),"",IF(H160&lt;TODAY(),"Да","Нет"))</f>
      </c>
      <c r="K160" s="2"/>
    </row>
    <row r="161" spans="1:11">
      <c r="A161" s="4">
        <f>IF(C161="","",ROW()-1)</f>
      </c>
      <c r="B161" s="3"/>
      <c r="C161" s="2"/>
      <c r="D161" s="2"/>
      <c r="E161" s="2"/>
      <c r="F161" s="4"/>
      <c r="G161" s="4"/>
      <c r="H161" s="3"/>
      <c r="I161" s="4">
        <f>IF(H161="","",H161-TODAY())</f>
      </c>
      <c r="J161" s="4" t="str">
        <f>IF(OR(H161="",G161="Выполнено"),"",IF(H161&lt;TODAY(),"Да","Нет"))</f>
      </c>
      <c r="K161" s="2"/>
    </row>
    <row r="162" spans="1:11">
      <c r="A162" s="4">
        <f>IF(C162="","",ROW()-1)</f>
      </c>
      <c r="B162" s="3"/>
      <c r="C162" s="2"/>
      <c r="D162" s="2"/>
      <c r="E162" s="2"/>
      <c r="F162" s="4"/>
      <c r="G162" s="4"/>
      <c r="H162" s="3"/>
      <c r="I162" s="4">
        <f>IF(H162="","",H162-TODAY())</f>
      </c>
      <c r="J162" s="4" t="str">
        <f>IF(OR(H162="",G162="Выполнено"),"",IF(H162&lt;TODAY(),"Да","Нет"))</f>
      </c>
      <c r="K162" s="2"/>
    </row>
    <row r="163" spans="1:11">
      <c r="A163" s="4">
        <f>IF(C163="","",ROW()-1)</f>
      </c>
      <c r="B163" s="3"/>
      <c r="C163" s="2"/>
      <c r="D163" s="2"/>
      <c r="E163" s="2"/>
      <c r="F163" s="4"/>
      <c r="G163" s="4"/>
      <c r="H163" s="3"/>
      <c r="I163" s="4">
        <f>IF(H163="","",H163-TODAY())</f>
      </c>
      <c r="J163" s="4" t="str">
        <f>IF(OR(H163="",G163="Выполнено"),"",IF(H163&lt;TODAY(),"Да","Нет"))</f>
      </c>
      <c r="K163" s="2"/>
    </row>
    <row r="164" spans="1:11">
      <c r="A164" s="4">
        <f>IF(C164="","",ROW()-1)</f>
      </c>
      <c r="B164" s="3"/>
      <c r="C164" s="2"/>
      <c r="D164" s="2"/>
      <c r="E164" s="2"/>
      <c r="F164" s="4"/>
      <c r="G164" s="4"/>
      <c r="H164" s="3"/>
      <c r="I164" s="4">
        <f>IF(H164="","",H164-TODAY())</f>
      </c>
      <c r="J164" s="4" t="str">
        <f>IF(OR(H164="",G164="Выполнено"),"",IF(H164&lt;TODAY(),"Да","Нет"))</f>
      </c>
      <c r="K164" s="2"/>
    </row>
    <row r="165" spans="1:11">
      <c r="A165" s="4">
        <f>IF(C165="","",ROW()-1)</f>
      </c>
      <c r="B165" s="3"/>
      <c r="C165" s="2"/>
      <c r="D165" s="2"/>
      <c r="E165" s="2"/>
      <c r="F165" s="4"/>
      <c r="G165" s="4"/>
      <c r="H165" s="3"/>
      <c r="I165" s="4">
        <f>IF(H165="","",H165-TODAY())</f>
      </c>
      <c r="J165" s="4" t="str">
        <f>IF(OR(H165="",G165="Выполнено"),"",IF(H165&lt;TODAY(),"Да","Нет"))</f>
      </c>
      <c r="K165" s="2"/>
    </row>
    <row r="166" spans="1:11">
      <c r="A166" s="4">
        <f>IF(C166="","",ROW()-1)</f>
      </c>
      <c r="B166" s="3"/>
      <c r="C166" s="2"/>
      <c r="D166" s="2"/>
      <c r="E166" s="2"/>
      <c r="F166" s="4"/>
      <c r="G166" s="4"/>
      <c r="H166" s="3"/>
      <c r="I166" s="4">
        <f>IF(H166="","",H166-TODAY())</f>
      </c>
      <c r="J166" s="4" t="str">
        <f>IF(OR(H166="",G166="Выполнено"),"",IF(H166&lt;TODAY(),"Да","Нет"))</f>
      </c>
      <c r="K166" s="2"/>
    </row>
    <row r="167" spans="1:11">
      <c r="A167" s="4">
        <f>IF(C167="","",ROW()-1)</f>
      </c>
      <c r="B167" s="3"/>
      <c r="C167" s="2"/>
      <c r="D167" s="2"/>
      <c r="E167" s="2"/>
      <c r="F167" s="4"/>
      <c r="G167" s="4"/>
      <c r="H167" s="3"/>
      <c r="I167" s="4">
        <f>IF(H167="","",H167-TODAY())</f>
      </c>
      <c r="J167" s="4" t="str">
        <f>IF(OR(H167="",G167="Выполнено"),"",IF(H167&lt;TODAY(),"Да","Нет"))</f>
      </c>
      <c r="K167" s="2"/>
    </row>
    <row r="168" spans="1:11">
      <c r="A168" s="4">
        <f>IF(C168="","",ROW()-1)</f>
      </c>
      <c r="B168" s="3"/>
      <c r="C168" s="2"/>
      <c r="D168" s="2"/>
      <c r="E168" s="2"/>
      <c r="F168" s="4"/>
      <c r="G168" s="4"/>
      <c r="H168" s="3"/>
      <c r="I168" s="4">
        <f>IF(H168="","",H168-TODAY())</f>
      </c>
      <c r="J168" s="4" t="str">
        <f>IF(OR(H168="",G168="Выполнено"),"",IF(H168&lt;TODAY(),"Да","Нет"))</f>
      </c>
      <c r="K168" s="2"/>
    </row>
    <row r="169" spans="1:11">
      <c r="A169" s="4">
        <f>IF(C169="","",ROW()-1)</f>
      </c>
      <c r="B169" s="3"/>
      <c r="C169" s="2"/>
      <c r="D169" s="2"/>
      <c r="E169" s="2"/>
      <c r="F169" s="4"/>
      <c r="G169" s="4"/>
      <c r="H169" s="3"/>
      <c r="I169" s="4">
        <f>IF(H169="","",H169-TODAY())</f>
      </c>
      <c r="J169" s="4" t="str">
        <f>IF(OR(H169="",G169="Выполнено"),"",IF(H169&lt;TODAY(),"Да","Нет"))</f>
      </c>
      <c r="K169" s="2"/>
    </row>
    <row r="170" spans="1:11">
      <c r="A170" s="4">
        <f>IF(C170="","",ROW()-1)</f>
      </c>
      <c r="B170" s="3"/>
      <c r="C170" s="2"/>
      <c r="D170" s="2"/>
      <c r="E170" s="2"/>
      <c r="F170" s="4"/>
      <c r="G170" s="4"/>
      <c r="H170" s="3"/>
      <c r="I170" s="4">
        <f>IF(H170="","",H170-TODAY())</f>
      </c>
      <c r="J170" s="4" t="str">
        <f>IF(OR(H170="",G170="Выполнено"),"",IF(H170&lt;TODAY(),"Да","Нет"))</f>
      </c>
      <c r="K170" s="2"/>
    </row>
    <row r="171" spans="1:11">
      <c r="A171" s="4">
        <f>IF(C171="","",ROW()-1)</f>
      </c>
      <c r="B171" s="3"/>
      <c r="C171" s="2"/>
      <c r="D171" s="2"/>
      <c r="E171" s="2"/>
      <c r="F171" s="4"/>
      <c r="G171" s="4"/>
      <c r="H171" s="3"/>
      <c r="I171" s="4">
        <f>IF(H171="","",H171-TODAY())</f>
      </c>
      <c r="J171" s="4" t="str">
        <f>IF(OR(H171="",G171="Выполнено"),"",IF(H171&lt;TODAY(),"Да","Нет"))</f>
      </c>
      <c r="K171" s="2"/>
    </row>
    <row r="172" spans="1:11">
      <c r="A172" s="4">
        <f>IF(C172="","",ROW()-1)</f>
      </c>
      <c r="B172" s="3"/>
      <c r="C172" s="2"/>
      <c r="D172" s="2"/>
      <c r="E172" s="2"/>
      <c r="F172" s="4"/>
      <c r="G172" s="4"/>
      <c r="H172" s="3"/>
      <c r="I172" s="4">
        <f>IF(H172="","",H172-TODAY())</f>
      </c>
      <c r="J172" s="4" t="str">
        <f>IF(OR(H172="",G172="Выполнено"),"",IF(H172&lt;TODAY(),"Да","Нет"))</f>
      </c>
      <c r="K172" s="2"/>
    </row>
    <row r="173" spans="1:11">
      <c r="A173" s="4">
        <f>IF(C173="","",ROW()-1)</f>
      </c>
      <c r="B173" s="3"/>
      <c r="C173" s="2"/>
      <c r="D173" s="2"/>
      <c r="E173" s="2"/>
      <c r="F173" s="4"/>
      <c r="G173" s="4"/>
      <c r="H173" s="3"/>
      <c r="I173" s="4">
        <f>IF(H173="","",H173-TODAY())</f>
      </c>
      <c r="J173" s="4" t="str">
        <f>IF(OR(H173="",G173="Выполнено"),"",IF(H173&lt;TODAY(),"Да","Нет"))</f>
      </c>
      <c r="K173" s="2"/>
    </row>
    <row r="174" spans="1:11">
      <c r="A174" s="4">
        <f>IF(C174="","",ROW()-1)</f>
      </c>
      <c r="B174" s="3"/>
      <c r="C174" s="2"/>
      <c r="D174" s="2"/>
      <c r="E174" s="2"/>
      <c r="F174" s="4"/>
      <c r="G174" s="4"/>
      <c r="H174" s="3"/>
      <c r="I174" s="4">
        <f>IF(H174="","",H174-TODAY())</f>
      </c>
      <c r="J174" s="4" t="str">
        <f>IF(OR(H174="",G174="Выполнено"),"",IF(H174&lt;TODAY(),"Да","Нет"))</f>
      </c>
      <c r="K174" s="2"/>
    </row>
    <row r="175" spans="1:11">
      <c r="A175" s="4">
        <f>IF(C175="","",ROW()-1)</f>
      </c>
      <c r="B175" s="3"/>
      <c r="C175" s="2"/>
      <c r="D175" s="2"/>
      <c r="E175" s="2"/>
      <c r="F175" s="4"/>
      <c r="G175" s="4"/>
      <c r="H175" s="3"/>
      <c r="I175" s="4">
        <f>IF(H175="","",H175-TODAY())</f>
      </c>
      <c r="J175" s="4" t="str">
        <f>IF(OR(H175="",G175="Выполнено"),"",IF(H175&lt;TODAY(),"Да","Нет"))</f>
      </c>
      <c r="K175" s="2"/>
    </row>
    <row r="176" spans="1:11">
      <c r="A176" s="4">
        <f>IF(C176="","",ROW()-1)</f>
      </c>
      <c r="B176" s="3"/>
      <c r="C176" s="2"/>
      <c r="D176" s="2"/>
      <c r="E176" s="2"/>
      <c r="F176" s="4"/>
      <c r="G176" s="4"/>
      <c r="H176" s="3"/>
      <c r="I176" s="4">
        <f>IF(H176="","",H176-TODAY())</f>
      </c>
      <c r="J176" s="4" t="str">
        <f>IF(OR(H176="",G176="Выполнено"),"",IF(H176&lt;TODAY(),"Да","Нет"))</f>
      </c>
      <c r="K176" s="2"/>
    </row>
    <row r="177" spans="1:11">
      <c r="A177" s="4">
        <f>IF(C177="","",ROW()-1)</f>
      </c>
      <c r="B177" s="3"/>
      <c r="C177" s="2"/>
      <c r="D177" s="2"/>
      <c r="E177" s="2"/>
      <c r="F177" s="4"/>
      <c r="G177" s="4"/>
      <c r="H177" s="3"/>
      <c r="I177" s="4">
        <f>IF(H177="","",H177-TODAY())</f>
      </c>
      <c r="J177" s="4" t="str">
        <f>IF(OR(H177="",G177="Выполнено"),"",IF(H177&lt;TODAY(),"Да","Нет"))</f>
      </c>
      <c r="K177" s="2"/>
    </row>
    <row r="178" spans="1:11">
      <c r="A178" s="4">
        <f>IF(C178="","",ROW()-1)</f>
      </c>
      <c r="B178" s="3"/>
      <c r="C178" s="2"/>
      <c r="D178" s="2"/>
      <c r="E178" s="2"/>
      <c r="F178" s="4"/>
      <c r="G178" s="4"/>
      <c r="H178" s="3"/>
      <c r="I178" s="4">
        <f>IF(H178="","",H178-TODAY())</f>
      </c>
      <c r="J178" s="4" t="str">
        <f>IF(OR(H178="",G178="Выполнено"),"",IF(H178&lt;TODAY(),"Да","Нет"))</f>
      </c>
      <c r="K178" s="2"/>
    </row>
    <row r="179" spans="1:11">
      <c r="A179" s="4">
        <f>IF(C179="","",ROW()-1)</f>
      </c>
      <c r="B179" s="3"/>
      <c r="C179" s="2"/>
      <c r="D179" s="2"/>
      <c r="E179" s="2"/>
      <c r="F179" s="4"/>
      <c r="G179" s="4"/>
      <c r="H179" s="3"/>
      <c r="I179" s="4">
        <f>IF(H179="","",H179-TODAY())</f>
      </c>
      <c r="J179" s="4" t="str">
        <f>IF(OR(H179="",G179="Выполнено"),"",IF(H179&lt;TODAY(),"Да","Нет"))</f>
      </c>
      <c r="K179" s="2"/>
    </row>
    <row r="180" spans="1:11">
      <c r="A180" s="4">
        <f>IF(C180="","",ROW()-1)</f>
      </c>
      <c r="B180" s="3"/>
      <c r="C180" s="2"/>
      <c r="D180" s="2"/>
      <c r="E180" s="2"/>
      <c r="F180" s="4"/>
      <c r="G180" s="4"/>
      <c r="H180" s="3"/>
      <c r="I180" s="4">
        <f>IF(H180="","",H180-TODAY())</f>
      </c>
      <c r="J180" s="4" t="str">
        <f>IF(OR(H180="",G180="Выполнено"),"",IF(H180&lt;TODAY(),"Да","Нет"))</f>
      </c>
      <c r="K180" s="2"/>
    </row>
    <row r="181" spans="1:11">
      <c r="A181" s="4">
        <f>IF(C181="","",ROW()-1)</f>
      </c>
      <c r="B181" s="3"/>
      <c r="C181" s="2"/>
      <c r="D181" s="2"/>
      <c r="E181" s="2"/>
      <c r="F181" s="4"/>
      <c r="G181" s="4"/>
      <c r="H181" s="3"/>
      <c r="I181" s="4">
        <f>IF(H181="","",H181-TODAY())</f>
      </c>
      <c r="J181" s="4" t="str">
        <f>IF(OR(H181="",G181="Выполнено"),"",IF(H181&lt;TODAY(),"Да","Нет"))</f>
      </c>
      <c r="K181" s="2"/>
    </row>
    <row r="182" spans="1:11">
      <c r="A182" s="4">
        <f>IF(C182="","",ROW()-1)</f>
      </c>
      <c r="B182" s="3"/>
      <c r="C182" s="2"/>
      <c r="D182" s="2"/>
      <c r="E182" s="2"/>
      <c r="F182" s="4"/>
      <c r="G182" s="4"/>
      <c r="H182" s="3"/>
      <c r="I182" s="4">
        <f>IF(H182="","",H182-TODAY())</f>
      </c>
      <c r="J182" s="4" t="str">
        <f>IF(OR(H182="",G182="Выполнено"),"",IF(H182&lt;TODAY(),"Да","Нет"))</f>
      </c>
      <c r="K182" s="2"/>
    </row>
    <row r="183" spans="1:11">
      <c r="A183" s="4">
        <f>IF(C183="","",ROW()-1)</f>
      </c>
      <c r="B183" s="3"/>
      <c r="C183" s="2"/>
      <c r="D183" s="2"/>
      <c r="E183" s="2"/>
      <c r="F183" s="4"/>
      <c r="G183" s="4"/>
      <c r="H183" s="3"/>
      <c r="I183" s="4">
        <f>IF(H183="","",H183-TODAY())</f>
      </c>
      <c r="J183" s="4" t="str">
        <f>IF(OR(H183="",G183="Выполнено"),"",IF(H183&lt;TODAY(),"Да","Нет"))</f>
      </c>
      <c r="K183" s="2"/>
    </row>
    <row r="184" spans="1:11">
      <c r="A184" s="4">
        <f>IF(C184="","",ROW()-1)</f>
      </c>
      <c r="B184" s="3"/>
      <c r="C184" s="2"/>
      <c r="D184" s="2"/>
      <c r="E184" s="2"/>
      <c r="F184" s="4"/>
      <c r="G184" s="4"/>
      <c r="H184" s="3"/>
      <c r="I184" s="4">
        <f>IF(H184="","",H184-TODAY())</f>
      </c>
      <c r="J184" s="4" t="str">
        <f>IF(OR(H184="",G184="Выполнено"),"",IF(H184&lt;TODAY(),"Да","Нет"))</f>
      </c>
      <c r="K184" s="2"/>
    </row>
    <row r="185" spans="1:11">
      <c r="A185" s="4">
        <f>IF(C185="","",ROW()-1)</f>
      </c>
      <c r="B185" s="3"/>
      <c r="C185" s="2"/>
      <c r="D185" s="2"/>
      <c r="E185" s="2"/>
      <c r="F185" s="4"/>
      <c r="G185" s="4"/>
      <c r="H185" s="3"/>
      <c r="I185" s="4">
        <f>IF(H185="","",H185-TODAY())</f>
      </c>
      <c r="J185" s="4" t="str">
        <f>IF(OR(H185="",G185="Выполнено"),"",IF(H185&lt;TODAY(),"Да","Нет"))</f>
      </c>
      <c r="K185" s="2"/>
    </row>
    <row r="186" spans="1:11">
      <c r="A186" s="4">
        <f>IF(C186="","",ROW()-1)</f>
      </c>
      <c r="B186" s="3"/>
      <c r="C186" s="2"/>
      <c r="D186" s="2"/>
      <c r="E186" s="2"/>
      <c r="F186" s="4"/>
      <c r="G186" s="4"/>
      <c r="H186" s="3"/>
      <c r="I186" s="4">
        <f>IF(H186="","",H186-TODAY())</f>
      </c>
      <c r="J186" s="4" t="str">
        <f>IF(OR(H186="",G186="Выполнено"),"",IF(H186&lt;TODAY(),"Да","Нет"))</f>
      </c>
      <c r="K186" s="2"/>
    </row>
    <row r="187" spans="1:11">
      <c r="A187" s="4">
        <f>IF(C187="","",ROW()-1)</f>
      </c>
      <c r="B187" s="3"/>
      <c r="C187" s="2"/>
      <c r="D187" s="2"/>
      <c r="E187" s="2"/>
      <c r="F187" s="4"/>
      <c r="G187" s="4"/>
      <c r="H187" s="3"/>
      <c r="I187" s="4">
        <f>IF(H187="","",H187-TODAY())</f>
      </c>
      <c r="J187" s="4" t="str">
        <f>IF(OR(H187="",G187="Выполнено"),"",IF(H187&lt;TODAY(),"Да","Нет"))</f>
      </c>
      <c r="K187" s="2"/>
    </row>
    <row r="188" spans="1:11">
      <c r="A188" s="4">
        <f>IF(C188="","",ROW()-1)</f>
      </c>
      <c r="B188" s="3"/>
      <c r="C188" s="2"/>
      <c r="D188" s="2"/>
      <c r="E188" s="2"/>
      <c r="F188" s="4"/>
      <c r="G188" s="4"/>
      <c r="H188" s="3"/>
      <c r="I188" s="4">
        <f>IF(H188="","",H188-TODAY())</f>
      </c>
      <c r="J188" s="4" t="str">
        <f>IF(OR(H188="",G188="Выполнено"),"",IF(H188&lt;TODAY(),"Да","Нет"))</f>
      </c>
      <c r="K188" s="2"/>
    </row>
    <row r="189" spans="1:11">
      <c r="A189" s="4">
        <f>IF(C189="","",ROW()-1)</f>
      </c>
      <c r="B189" s="3"/>
      <c r="C189" s="2"/>
      <c r="D189" s="2"/>
      <c r="E189" s="2"/>
      <c r="F189" s="4"/>
      <c r="G189" s="4"/>
      <c r="H189" s="3"/>
      <c r="I189" s="4">
        <f>IF(H189="","",H189-TODAY())</f>
      </c>
      <c r="J189" s="4" t="str">
        <f>IF(OR(H189="",G189="Выполнено"),"",IF(H189&lt;TODAY(),"Да","Нет"))</f>
      </c>
      <c r="K189" s="2"/>
    </row>
    <row r="190" spans="1:11">
      <c r="A190" s="4">
        <f>IF(C190="","",ROW()-1)</f>
      </c>
      <c r="B190" s="3"/>
      <c r="C190" s="2"/>
      <c r="D190" s="2"/>
      <c r="E190" s="2"/>
      <c r="F190" s="4"/>
      <c r="G190" s="4"/>
      <c r="H190" s="3"/>
      <c r="I190" s="4">
        <f>IF(H190="","",H190-TODAY())</f>
      </c>
      <c r="J190" s="4" t="str">
        <f>IF(OR(H190="",G190="Выполнено"),"",IF(H190&lt;TODAY(),"Да","Нет"))</f>
      </c>
      <c r="K190" s="2"/>
    </row>
    <row r="191" spans="1:11">
      <c r="A191" s="4">
        <f>IF(C191="","",ROW()-1)</f>
      </c>
      <c r="B191" s="3"/>
      <c r="C191" s="2"/>
      <c r="D191" s="2"/>
      <c r="E191" s="2"/>
      <c r="F191" s="4"/>
      <c r="G191" s="4"/>
      <c r="H191" s="3"/>
      <c r="I191" s="4">
        <f>IF(H191="","",H191-TODAY())</f>
      </c>
      <c r="J191" s="4" t="str">
        <f>IF(OR(H191="",G191="Выполнено"),"",IF(H191&lt;TODAY(),"Да","Нет"))</f>
      </c>
      <c r="K191" s="2"/>
    </row>
    <row r="192" spans="1:11">
      <c r="A192" s="4">
        <f>IF(C192="","",ROW()-1)</f>
      </c>
      <c r="B192" s="3"/>
      <c r="C192" s="2"/>
      <c r="D192" s="2"/>
      <c r="E192" s="2"/>
      <c r="F192" s="4"/>
      <c r="G192" s="4"/>
      <c r="H192" s="3"/>
      <c r="I192" s="4">
        <f>IF(H192="","",H192-TODAY())</f>
      </c>
      <c r="J192" s="4" t="str">
        <f>IF(OR(H192="",G192="Выполнено"),"",IF(H192&lt;TODAY(),"Да","Нет"))</f>
      </c>
      <c r="K192" s="2"/>
    </row>
    <row r="193" spans="1:11">
      <c r="A193" s="4">
        <f>IF(C193="","",ROW()-1)</f>
      </c>
      <c r="B193" s="3"/>
      <c r="C193" s="2"/>
      <c r="D193" s="2"/>
      <c r="E193" s="2"/>
      <c r="F193" s="4"/>
      <c r="G193" s="4"/>
      <c r="H193" s="3"/>
      <c r="I193" s="4">
        <f>IF(H193="","",H193-TODAY())</f>
      </c>
      <c r="J193" s="4" t="str">
        <f>IF(OR(H193="",G193="Выполнено"),"",IF(H193&lt;TODAY(),"Да","Нет"))</f>
      </c>
      <c r="K193" s="2"/>
    </row>
    <row r="194" spans="1:11">
      <c r="A194" s="4">
        <f>IF(C194="","",ROW()-1)</f>
      </c>
      <c r="B194" s="3"/>
      <c r="C194" s="2"/>
      <c r="D194" s="2"/>
      <c r="E194" s="2"/>
      <c r="F194" s="4"/>
      <c r="G194" s="4"/>
      <c r="H194" s="3"/>
      <c r="I194" s="4">
        <f>IF(H194="","",H194-TODAY())</f>
      </c>
      <c r="J194" s="4" t="str">
        <f>IF(OR(H194="",G194="Выполнено"),"",IF(H194&lt;TODAY(),"Да","Нет"))</f>
      </c>
      <c r="K194" s="2"/>
    </row>
    <row r="195" spans="1:11">
      <c r="A195" s="4">
        <f>IF(C195="","",ROW()-1)</f>
      </c>
      <c r="B195" s="3"/>
      <c r="C195" s="2"/>
      <c r="D195" s="2"/>
      <c r="E195" s="2"/>
      <c r="F195" s="4"/>
      <c r="G195" s="4"/>
      <c r="H195" s="3"/>
      <c r="I195" s="4">
        <f>IF(H195="","",H195-TODAY())</f>
      </c>
      <c r="J195" s="4" t="str">
        <f>IF(OR(H195="",G195="Выполнено"),"",IF(H195&lt;TODAY(),"Да","Нет"))</f>
      </c>
      <c r="K195" s="2"/>
    </row>
    <row r="196" spans="1:11">
      <c r="A196" s="4">
        <f>IF(C196="","",ROW()-1)</f>
      </c>
      <c r="B196" s="3"/>
      <c r="C196" s="2"/>
      <c r="D196" s="2"/>
      <c r="E196" s="2"/>
      <c r="F196" s="4"/>
      <c r="G196" s="4"/>
      <c r="H196" s="3"/>
      <c r="I196" s="4">
        <f>IF(H196="","",H196-TODAY())</f>
      </c>
      <c r="J196" s="4" t="str">
        <f>IF(OR(H196="",G196="Выполнено"),"",IF(H196&lt;TODAY(),"Да","Нет"))</f>
      </c>
      <c r="K196" s="2"/>
    </row>
    <row r="197" spans="1:11">
      <c r="A197" s="4">
        <f>IF(C197="","",ROW()-1)</f>
      </c>
      <c r="B197" s="3"/>
      <c r="C197" s="2"/>
      <c r="D197" s="2"/>
      <c r="E197" s="2"/>
      <c r="F197" s="4"/>
      <c r="G197" s="4"/>
      <c r="H197" s="3"/>
      <c r="I197" s="4">
        <f>IF(H197="","",H197-TODAY())</f>
      </c>
      <c r="J197" s="4" t="str">
        <f>IF(OR(H197="",G197="Выполнено"),"",IF(H197&lt;TODAY(),"Да","Нет"))</f>
      </c>
      <c r="K197" s="2"/>
    </row>
    <row r="198" spans="1:11">
      <c r="A198" s="4">
        <f>IF(C198="","",ROW()-1)</f>
      </c>
      <c r="B198" s="3"/>
      <c r="C198" s="2"/>
      <c r="D198" s="2"/>
      <c r="E198" s="2"/>
      <c r="F198" s="4"/>
      <c r="G198" s="4"/>
      <c r="H198" s="3"/>
      <c r="I198" s="4">
        <f>IF(H198="","",H198-TODAY())</f>
      </c>
      <c r="J198" s="4" t="str">
        <f>IF(OR(H198="",G198="Выполнено"),"",IF(H198&lt;TODAY(),"Да","Нет"))</f>
      </c>
      <c r="K198" s="2"/>
    </row>
    <row r="199" spans="1:11">
      <c r="A199" s="4">
        <f>IF(C199="","",ROW()-1)</f>
      </c>
      <c r="B199" s="3"/>
      <c r="C199" s="2"/>
      <c r="D199" s="2"/>
      <c r="E199" s="2"/>
      <c r="F199" s="4"/>
      <c r="G199" s="4"/>
      <c r="H199" s="3"/>
      <c r="I199" s="4">
        <f>IF(H199="","",H199-TODAY())</f>
      </c>
      <c r="J199" s="4" t="str">
        <f>IF(OR(H199="",G199="Выполнено"),"",IF(H199&lt;TODAY(),"Да","Нет"))</f>
      </c>
      <c r="K199" s="2"/>
    </row>
    <row r="200" spans="1:11">
      <c r="A200" s="4">
        <f>IF(C200="","",ROW()-1)</f>
      </c>
      <c r="B200" s="3"/>
      <c r="C200" s="2"/>
      <c r="D200" s="2"/>
      <c r="E200" s="2"/>
      <c r="F200" s="4"/>
      <c r="G200" s="4"/>
      <c r="H200" s="3"/>
      <c r="I200" s="4">
        <f>IF(H200="","",H200-TODAY())</f>
      </c>
      <c r="J200" s="4" t="str">
        <f>IF(OR(H200="",G200="Выполнено"),"",IF(H200&lt;TODAY(),"Да","Нет"))</f>
      </c>
      <c r="K200" s="2"/>
    </row>
    <row r="201" spans="1:11">
      <c r="A201" s="4">
        <f>IF(C201="","",ROW()-1)</f>
      </c>
      <c r="B201" s="3"/>
      <c r="C201" s="2"/>
      <c r="D201" s="2"/>
      <c r="E201" s="2"/>
      <c r="F201" s="4"/>
      <c r="G201" s="4"/>
      <c r="H201" s="3"/>
      <c r="I201" s="4">
        <f>IF(H201="","",H201-TODAY())</f>
      </c>
      <c r="J201" s="4" t="str">
        <f>IF(OR(H201="",G201="Выполнено"),"",IF(H201&lt;TODAY(),"Да","Нет"))</f>
      </c>
      <c r="K201" s="2"/>
    </row>
  </sheetData>
  <autoFilter ref="A1:K201"/>
  <dataValidations count="3">
    <dataValidation type="list" allowBlank="1" showErrorMessage="1" sqref="D2:D201">
      <formula1>task_categories</formula1>
    </dataValidation>
    <dataValidation type="list" allowBlank="1" showErrorMessage="1" sqref="F2:F201">
      <formula1>task_priorities</formula1>
    </dataValidation>
    <dataValidation type="list" allowBlank="1" showErrorMessage="1" sqref="G2:G201">
      <formula1>task_statuses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8"/>
  <cols>
    <col min="1" max="1" width="24" customWidth="1"/>
    <col min="2" max="2" width="16" customWidth="1"/>
  </cols>
  <sheetData>
    <row r="1" spans="1:2" ht="24" customHeight="1">
      <c r="A1" s="1" t="inlineStr">
        <is>
          <t>Показатель</t>
        </is>
      </c>
      <c r="B1" s="1" t="inlineStr">
        <is>
          <t>Значение</t>
        </is>
      </c>
    </row>
    <row r="2" spans="1:2">
      <c r="A2" s="2" t="inlineStr">
        <is>
          <t>Всего задач</t>
        </is>
      </c>
      <c r="B2" s="4">
        <f>COUNTA('Задачи'!$C$2:$C$201)</f>
      </c>
    </row>
    <row r="3" spans="1:2">
      <c r="A3" s="2" t="inlineStr">
        <is>
          <t>Новая</t>
        </is>
      </c>
      <c r="B3" s="4">
        <f>COUNTIF('Задачи'!$G$2:$G$201,"Новая")</f>
      </c>
    </row>
    <row r="4" spans="1:2">
      <c r="A4" s="2" t="inlineStr">
        <is>
          <t>В работе</t>
        </is>
      </c>
      <c r="B4" s="4">
        <f>COUNTIF('Задачи'!$G$2:$G$201,"В работе")</f>
      </c>
    </row>
    <row r="5" spans="1:2">
      <c r="A5" s="2" t="inlineStr">
        <is>
          <t>На паузе</t>
        </is>
      </c>
      <c r="B5" s="4">
        <f>COUNTIF('Задачи'!$G$2:$G$201,"На паузе")</f>
      </c>
    </row>
    <row r="6" spans="1:2">
      <c r="A6" s="2" t="inlineStr">
        <is>
          <t>Выполнено</t>
        </is>
      </c>
      <c r="B6" s="4">
        <f>COUNTIF('Задачи'!$G$2:$G$201,"Выполнено")</f>
      </c>
    </row>
    <row r="7" spans="1:2">
      <c r="A7" s="2" t="inlineStr">
        <is>
          <t>Просрочено</t>
        </is>
      </c>
      <c r="B7" s="4">
        <f>COUNTIF('Задачи'!$J$2:$J$201,"Да")</f>
      </c>
    </row>
    <row r="8" spans="1:2">
      <c r="A8" s="2" t="inlineStr">
        <is>
          <t>Высокий приоритет</t>
        </is>
      </c>
      <c r="B8" s="4">
        <f>COUNTIF('Задачи'!$F$2:$F$201,"Высокий")</f>
      </c>
    </row>
    <row r="9" spans="1:2">
      <c r="A9" s="2" t="inlineStr">
        <is>
          <t>Срок сегодня</t>
        </is>
      </c>
      <c r="B9" s="4">
        <f>COUNTIFS('Задачи'!$H$2:$H$201,TODAY(),'Задачи'!$G$2:$G$201,"&lt;&gt;Выполнено")</f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dimension ref="A1:C7"/>
  <sheetViews>
    <sheetView workbookViewId="0"/>
  </sheetViews>
  <sheetFormatPr defaultRowHeight="18"/>
  <cols>
    <col min="1" max="1" width="22" customWidth="1"/>
    <col min="2" max="2" width="14" customWidth="1"/>
    <col min="3" max="3" width="16" customWidth="1"/>
  </cols>
  <sheetData>
    <row r="1" spans="1:3" ht="24" customHeight="1">
      <c r="A1" s="1" t="inlineStr">
        <is>
          <t>Категории</t>
        </is>
      </c>
      <c r="B1" s="1" t="inlineStr">
        <is>
          <t>Приоритеты</t>
        </is>
      </c>
      <c r="C1" s="1" t="inlineStr">
        <is>
          <t>Статусы</t>
        </is>
      </c>
    </row>
    <row r="2" spans="1:3">
      <c r="A2" s="2" t="inlineStr">
        <is>
          <t>Документы</t>
        </is>
      </c>
      <c r="B2" s="2" t="inlineStr">
        <is>
          <t>Низкий</t>
        </is>
      </c>
      <c r="C2" s="2" t="inlineStr">
        <is>
          <t>Новая</t>
        </is>
      </c>
    </row>
    <row r="3" spans="1:3">
      <c r="A3" s="2" t="inlineStr">
        <is>
          <t>Закупки</t>
        </is>
      </c>
      <c r="B3" s="2" t="inlineStr">
        <is>
          <t>Средний</t>
        </is>
      </c>
      <c r="C3" s="2" t="inlineStr">
        <is>
          <t>В работе</t>
        </is>
      </c>
    </row>
    <row r="4" spans="1:3">
      <c r="A4" s="2" t="inlineStr">
        <is>
          <t>Встречи</t>
        </is>
      </c>
      <c r="B4" s="2" t="inlineStr">
        <is>
          <t>Высокий</t>
        </is>
      </c>
      <c r="C4" s="2" t="inlineStr">
        <is>
          <t>На паузе</t>
        </is>
      </c>
    </row>
    <row r="5" spans="1:3">
      <c r="A5" s="2" t="inlineStr">
        <is>
          <t>IT</t>
        </is>
      </c>
      <c r="B5" s="2"/>
      <c r="C5" s="2" t="inlineStr">
        <is>
          <t>Выполнено</t>
        </is>
      </c>
    </row>
    <row r="6" spans="1:3">
      <c r="A6" s="2" t="inlineStr">
        <is>
          <t>Администрирование</t>
        </is>
      </c>
      <c r="B6" s="2"/>
      <c r="C6" s="2"/>
    </row>
    <row r="7" spans="1:3">
      <c r="A7" s="2" t="inlineStr">
        <is>
          <t>Прочее</t>
        </is>
      </c>
      <c r="B7" s="2"/>
      <c r="C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Задачи</vt:lpstr>
      <vt:lpstr>Сводка</vt:lpstr>
      <vt:lpstr>Списки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Task Tracker</dc:title>
  <dc:creator>Cursor Cloud Agent</dc:creator>
  <cp:lastModifiedBy>Cursor Cloud Agent</cp:lastModifiedBy>
  <dcterms:created xsi:type="dcterms:W3CDTF">2026-04-03T09:34:00+00:00</dcterms:created>
  <dcterms:modified xsi:type="dcterms:W3CDTF">2026-04-03T09:34:00+00:00</dcterms:modified>
</cp:coreProperties>
</file>